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inal Bond Copy _Railway  Finance 24.10.2024\"/>
    </mc:Choice>
  </mc:AlternateContent>
  <bookViews>
    <workbookView xWindow="-105" yWindow="-105" windowWidth="19425" windowHeight="10305" activeTab="6"/>
  </bookViews>
  <sheets>
    <sheet name="Annexure 2" sheetId="1" r:id="rId1"/>
    <sheet name="Annexure 3" sheetId="2" r:id="rId2"/>
    <sheet name="Annexure 4" sheetId="10" r:id="rId3"/>
    <sheet name="Annexure  5" sheetId="19" r:id="rId4"/>
    <sheet name="Annexure -6" sheetId="21" r:id="rId5"/>
    <sheet name="Annexure-7" sheetId="13" r:id="rId6"/>
    <sheet name="Annexure_8" sheetId="23" r:id="rId7"/>
  </sheets>
  <definedNames>
    <definedName name="_xlnm._FilterDatabase" localSheetId="3" hidden="1">'Annexure  5'!$A$4:$L$60</definedName>
    <definedName name="_xlnm._FilterDatabase" localSheetId="0" hidden="1">'Annexure 2'!$A$2:$AF$60</definedName>
    <definedName name="_xlnm._FilterDatabase" localSheetId="2" hidden="1">'Annexure 4'!$A$3:$H$59</definedName>
    <definedName name="_xlnm.Print_Area" localSheetId="3">'Annexure  5'!$A$1:$L$60</definedName>
    <definedName name="_xlnm.Print_Area" localSheetId="1">'Annexure 3'!$A$1:$AF$59</definedName>
    <definedName name="_xlnm.Print_Area" localSheetId="2">'Annexure 4'!$A$1:$G$62</definedName>
    <definedName name="_xlnm.Print_Area" localSheetId="4">'Annexure -6'!$A$1:$Q$61</definedName>
    <definedName name="_xlnm.Print_Area" localSheetId="5">'Annexure-7'!$A$1:$Q$16</definedName>
    <definedName name="_xlnm.Print_Titles" localSheetId="3">'Annexure  5'!$1:$4</definedName>
    <definedName name="_xlnm.Print_Titles" localSheetId="0">'Annexure 2'!$3:$4</definedName>
    <definedName name="_xlnm.Print_Titles" localSheetId="1">'Annexure 3'!$1:$4</definedName>
    <definedName name="_xlnm.Print_Titles" localSheetId="2">'Annexure 4'!$1:$3</definedName>
    <definedName name="_xlnm.Print_Titles" localSheetId="4">'Annexure -6'!$1:$4</definedName>
    <definedName name="_xlnm.Print_Titles" localSheetId="6">Annexure_8!$1:$3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23" l="1"/>
  <c r="H54" i="23" s="1"/>
  <c r="I54" i="23" s="1"/>
  <c r="F54" i="23"/>
  <c r="G38" i="23"/>
  <c r="F38" i="23"/>
  <c r="E39" i="23"/>
  <c r="G22" i="23"/>
  <c r="H22" i="23" s="1"/>
  <c r="I22" i="23" s="1"/>
  <c r="G23" i="23"/>
  <c r="H23" i="23" s="1"/>
  <c r="I23" i="23" s="1"/>
  <c r="G24" i="23"/>
  <c r="H24" i="23" s="1"/>
  <c r="I24" i="23" s="1"/>
  <c r="G25" i="23"/>
  <c r="H25" i="23" s="1"/>
  <c r="I25" i="23" s="1"/>
  <c r="G26" i="23"/>
  <c r="H26" i="23" s="1"/>
  <c r="G27" i="23"/>
  <c r="H27" i="23" s="1"/>
  <c r="G28" i="23"/>
  <c r="H28" i="23" s="1"/>
  <c r="I28" i="23" s="1"/>
  <c r="G29" i="23"/>
  <c r="H29" i="23" s="1"/>
  <c r="I29" i="23" s="1"/>
  <c r="G30" i="23"/>
  <c r="H30" i="23" s="1"/>
  <c r="I30" i="23" s="1"/>
  <c r="G31" i="23"/>
  <c r="H31" i="23" s="1"/>
  <c r="I31" i="23" s="1"/>
  <c r="G32" i="23"/>
  <c r="H32" i="23" s="1"/>
  <c r="I32" i="23" s="1"/>
  <c r="G33" i="23"/>
  <c r="H33" i="23" s="1"/>
  <c r="G34" i="23"/>
  <c r="H34" i="23" s="1"/>
  <c r="G35" i="23"/>
  <c r="H35" i="23" s="1"/>
  <c r="G36" i="23"/>
  <c r="H36" i="23" s="1"/>
  <c r="G37" i="23"/>
  <c r="H37" i="23" s="1"/>
  <c r="G21" i="23"/>
  <c r="H21" i="23" s="1"/>
  <c r="I21" i="23" s="1"/>
  <c r="E55" i="23"/>
  <c r="D55" i="23"/>
  <c r="C55" i="23"/>
  <c r="G53" i="23"/>
  <c r="H53" i="23" s="1"/>
  <c r="I53" i="23" s="1"/>
  <c r="F53" i="23"/>
  <c r="G52" i="23"/>
  <c r="H52" i="23" s="1"/>
  <c r="I52" i="23" s="1"/>
  <c r="F52" i="23"/>
  <c r="G51" i="23"/>
  <c r="H51" i="23" s="1"/>
  <c r="I51" i="23" s="1"/>
  <c r="F51" i="23"/>
  <c r="G50" i="23"/>
  <c r="H50" i="23" s="1"/>
  <c r="I50" i="23" s="1"/>
  <c r="F50" i="23"/>
  <c r="G49" i="23"/>
  <c r="H49" i="23" s="1"/>
  <c r="I49" i="23" s="1"/>
  <c r="F49" i="23"/>
  <c r="G48" i="23"/>
  <c r="H48" i="23" s="1"/>
  <c r="F48" i="23"/>
  <c r="E46" i="23"/>
  <c r="D46" i="23"/>
  <c r="C46" i="23"/>
  <c r="G45" i="23"/>
  <c r="H45" i="23" s="1"/>
  <c r="I45" i="23" s="1"/>
  <c r="F45" i="23"/>
  <c r="G44" i="23"/>
  <c r="H44" i="23" s="1"/>
  <c r="I44" i="23" s="1"/>
  <c r="F44" i="23"/>
  <c r="G43" i="23"/>
  <c r="H43" i="23" s="1"/>
  <c r="I43" i="23" s="1"/>
  <c r="F43" i="23"/>
  <c r="G42" i="23"/>
  <c r="H42" i="23" s="1"/>
  <c r="I42" i="23" s="1"/>
  <c r="F42" i="23"/>
  <c r="G41" i="23"/>
  <c r="H41" i="23" s="1"/>
  <c r="I41" i="23" s="1"/>
  <c r="F41" i="23"/>
  <c r="D39" i="23"/>
  <c r="C39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E20" i="23"/>
  <c r="C20" i="23"/>
  <c r="F19" i="23"/>
  <c r="I18" i="23"/>
  <c r="G18" i="23"/>
  <c r="F18" i="23"/>
  <c r="G16" i="23"/>
  <c r="F16" i="23"/>
  <c r="H16" i="23" s="1"/>
  <c r="I16" i="23" s="1"/>
  <c r="G15" i="23"/>
  <c r="H15" i="23" s="1"/>
  <c r="I15" i="23" s="1"/>
  <c r="F15" i="23"/>
  <c r="G14" i="23"/>
  <c r="H14" i="23" s="1"/>
  <c r="I14" i="23" s="1"/>
  <c r="F14" i="23"/>
  <c r="G13" i="23"/>
  <c r="F13" i="23"/>
  <c r="H13" i="23" s="1"/>
  <c r="G12" i="23"/>
  <c r="F12" i="23"/>
  <c r="H12" i="23" s="1"/>
  <c r="G11" i="23"/>
  <c r="H11" i="23" s="1"/>
  <c r="F11" i="23"/>
  <c r="G10" i="23"/>
  <c r="F10" i="23"/>
  <c r="H10" i="23" s="1"/>
  <c r="G9" i="23"/>
  <c r="H9" i="23" s="1"/>
  <c r="F9" i="23"/>
  <c r="G8" i="23"/>
  <c r="H8" i="23" s="1"/>
  <c r="I8" i="23" s="1"/>
  <c r="F8" i="23"/>
  <c r="G7" i="23"/>
  <c r="F7" i="23"/>
  <c r="H7" i="23" s="1"/>
  <c r="G6" i="23"/>
  <c r="H6" i="23" s="1"/>
  <c r="F6" i="23"/>
  <c r="G5" i="23"/>
  <c r="F5" i="23"/>
  <c r="D56" i="23" l="1"/>
  <c r="H55" i="23"/>
  <c r="I48" i="23"/>
  <c r="I55" i="23" s="1"/>
  <c r="I13" i="23"/>
  <c r="H20" i="23"/>
  <c r="I20" i="23" s="1"/>
  <c r="H39" i="23"/>
  <c r="I39" i="23" s="1"/>
  <c r="H46" i="23"/>
  <c r="I46" i="23" s="1"/>
  <c r="E56" i="23"/>
  <c r="I37" i="23"/>
  <c r="I36" i="23"/>
  <c r="I35" i="23"/>
  <c r="I34" i="23"/>
  <c r="I33" i="23"/>
  <c r="I27" i="23"/>
  <c r="I26" i="23"/>
  <c r="C56" i="23"/>
  <c r="H56" i="23" l="1"/>
  <c r="I56" i="23" s="1"/>
  <c r="AC59" i="1" l="1"/>
  <c r="AB59" i="1"/>
  <c r="D43" i="21" l="1"/>
  <c r="E25" i="21"/>
  <c r="L23" i="21"/>
  <c r="I23" i="21"/>
  <c r="E8" i="21"/>
  <c r="Q7" i="13" l="1"/>
  <c r="Q6" i="13"/>
  <c r="K55" i="21" l="1"/>
  <c r="K23" i="19"/>
  <c r="AA50" i="1" l="1"/>
  <c r="Q49" i="21" l="1"/>
  <c r="Q14" i="21"/>
  <c r="P59" i="21"/>
  <c r="O59" i="21"/>
  <c r="M59" i="21"/>
  <c r="L59" i="21"/>
  <c r="J59" i="21"/>
  <c r="I59" i="21"/>
  <c r="G59" i="21"/>
  <c r="D59" i="21"/>
  <c r="C59" i="21"/>
  <c r="Q58" i="21"/>
  <c r="N58" i="21"/>
  <c r="K58" i="21"/>
  <c r="H58" i="21"/>
  <c r="E58" i="21"/>
  <c r="Q57" i="21"/>
  <c r="N57" i="21"/>
  <c r="K57" i="21"/>
  <c r="F57" i="21"/>
  <c r="F59" i="21" s="1"/>
  <c r="E57" i="21"/>
  <c r="Q56" i="21"/>
  <c r="N56" i="21"/>
  <c r="K56" i="21"/>
  <c r="H56" i="21"/>
  <c r="E56" i="21"/>
  <c r="Q55" i="21"/>
  <c r="N55" i="21"/>
  <c r="H55" i="21"/>
  <c r="E55" i="21"/>
  <c r="Q54" i="21"/>
  <c r="N54" i="21"/>
  <c r="K54" i="21"/>
  <c r="H54" i="21"/>
  <c r="E54" i="21"/>
  <c r="Q53" i="21"/>
  <c r="N53" i="21"/>
  <c r="K53" i="21"/>
  <c r="H53" i="21"/>
  <c r="E53" i="21"/>
  <c r="Q52" i="21"/>
  <c r="N52" i="21"/>
  <c r="K52" i="21"/>
  <c r="H52" i="21"/>
  <c r="E52" i="21"/>
  <c r="P50" i="21"/>
  <c r="O50" i="21"/>
  <c r="M50" i="21"/>
  <c r="L50" i="21"/>
  <c r="J50" i="21"/>
  <c r="I50" i="21"/>
  <c r="G50" i="21"/>
  <c r="F50" i="21"/>
  <c r="D50" i="21"/>
  <c r="C50" i="21"/>
  <c r="N49" i="21"/>
  <c r="K49" i="21"/>
  <c r="H49" i="21"/>
  <c r="E49" i="21"/>
  <c r="Q48" i="21"/>
  <c r="N48" i="21"/>
  <c r="K48" i="21"/>
  <c r="H48" i="21"/>
  <c r="E48" i="21"/>
  <c r="Q47" i="21"/>
  <c r="N47" i="21"/>
  <c r="K47" i="21"/>
  <c r="H47" i="21"/>
  <c r="E47" i="21"/>
  <c r="Q46" i="21"/>
  <c r="N46" i="21"/>
  <c r="K46" i="21"/>
  <c r="H46" i="21"/>
  <c r="E46" i="21"/>
  <c r="Q45" i="21"/>
  <c r="N45" i="21"/>
  <c r="K45" i="21"/>
  <c r="H45" i="21"/>
  <c r="E45" i="21"/>
  <c r="P43" i="21"/>
  <c r="O43" i="21"/>
  <c r="M43" i="21"/>
  <c r="L43" i="21"/>
  <c r="J43" i="21"/>
  <c r="I43" i="21"/>
  <c r="G43" i="21"/>
  <c r="F43" i="21"/>
  <c r="C43" i="21"/>
  <c r="Q42" i="21"/>
  <c r="N42" i="21"/>
  <c r="K42" i="21"/>
  <c r="H42" i="21"/>
  <c r="E42" i="21"/>
  <c r="Q41" i="21"/>
  <c r="N41" i="21"/>
  <c r="K41" i="21"/>
  <c r="E41" i="21"/>
  <c r="Q40" i="21"/>
  <c r="N40" i="21"/>
  <c r="K40" i="21"/>
  <c r="H40" i="21"/>
  <c r="E40" i="21"/>
  <c r="Q39" i="21"/>
  <c r="Q38" i="21"/>
  <c r="Q37" i="21"/>
  <c r="N37" i="21"/>
  <c r="Q36" i="21"/>
  <c r="Q35" i="21"/>
  <c r="N35" i="21"/>
  <c r="Q34" i="21"/>
  <c r="N34" i="21"/>
  <c r="K34" i="21"/>
  <c r="H34" i="21"/>
  <c r="E34" i="21"/>
  <c r="Q33" i="21"/>
  <c r="N33" i="21"/>
  <c r="K33" i="21"/>
  <c r="H33" i="21"/>
  <c r="E33" i="21"/>
  <c r="Q32" i="21"/>
  <c r="N32" i="21"/>
  <c r="K32" i="21"/>
  <c r="H32" i="21"/>
  <c r="E32" i="21"/>
  <c r="Q31" i="21"/>
  <c r="N31" i="21"/>
  <c r="K31" i="21"/>
  <c r="H31" i="21"/>
  <c r="E31" i="21"/>
  <c r="Q30" i="21"/>
  <c r="N30" i="21"/>
  <c r="K30" i="21"/>
  <c r="H30" i="21"/>
  <c r="E30" i="21"/>
  <c r="Q29" i="21"/>
  <c r="N29" i="21"/>
  <c r="K29" i="21"/>
  <c r="Q28" i="21"/>
  <c r="N28" i="21"/>
  <c r="K28" i="21"/>
  <c r="H28" i="21"/>
  <c r="E28" i="21"/>
  <c r="Q27" i="21"/>
  <c r="N27" i="21"/>
  <c r="K27" i="21"/>
  <c r="H27" i="21"/>
  <c r="E27" i="21"/>
  <c r="Q26" i="21"/>
  <c r="N26" i="21"/>
  <c r="K26" i="21"/>
  <c r="H26" i="21"/>
  <c r="E26" i="21"/>
  <c r="Q25" i="21"/>
  <c r="N25" i="21"/>
  <c r="K25" i="21"/>
  <c r="H25" i="21"/>
  <c r="P23" i="21"/>
  <c r="O23" i="21"/>
  <c r="M23" i="21"/>
  <c r="J23" i="21"/>
  <c r="G23" i="21"/>
  <c r="F23" i="21"/>
  <c r="D23" i="21"/>
  <c r="Q21" i="21"/>
  <c r="N21" i="21"/>
  <c r="K21" i="21"/>
  <c r="H21" i="21"/>
  <c r="E21" i="21"/>
  <c r="Q19" i="21"/>
  <c r="N19" i="21"/>
  <c r="K19" i="21"/>
  <c r="H19" i="21"/>
  <c r="E19" i="21"/>
  <c r="Q18" i="21"/>
  <c r="N18" i="21"/>
  <c r="K18" i="21"/>
  <c r="H18" i="21"/>
  <c r="E18" i="21"/>
  <c r="K17" i="21"/>
  <c r="H17" i="21"/>
  <c r="E17" i="21"/>
  <c r="Q16" i="21"/>
  <c r="N16" i="21"/>
  <c r="K16" i="21"/>
  <c r="H16" i="21"/>
  <c r="E16" i="21"/>
  <c r="K15" i="21"/>
  <c r="H15" i="21"/>
  <c r="E15" i="21"/>
  <c r="N14" i="21"/>
  <c r="K14" i="21"/>
  <c r="H14" i="21"/>
  <c r="E14" i="21"/>
  <c r="Q13" i="21"/>
  <c r="N13" i="21"/>
  <c r="K13" i="21"/>
  <c r="H13" i="21"/>
  <c r="E13" i="21"/>
  <c r="Q12" i="21"/>
  <c r="N12" i="21"/>
  <c r="K12" i="21"/>
  <c r="H12" i="21"/>
  <c r="E12" i="21"/>
  <c r="Q11" i="21"/>
  <c r="N11" i="21"/>
  <c r="K11" i="21"/>
  <c r="H11" i="21"/>
  <c r="E11" i="21"/>
  <c r="Q10" i="21"/>
  <c r="N10" i="21"/>
  <c r="K10" i="21"/>
  <c r="H10" i="21"/>
  <c r="E10" i="21"/>
  <c r="Q9" i="21"/>
  <c r="N9" i="21"/>
  <c r="K9" i="21"/>
  <c r="H9" i="21"/>
  <c r="E9" i="21"/>
  <c r="Q8" i="21"/>
  <c r="N8" i="21"/>
  <c r="K8" i="21"/>
  <c r="H8" i="21"/>
  <c r="Q7" i="21"/>
  <c r="N7" i="21"/>
  <c r="K7" i="21"/>
  <c r="H7" i="21"/>
  <c r="E7" i="21"/>
  <c r="Q6" i="21"/>
  <c r="N6" i="21"/>
  <c r="K6" i="21"/>
  <c r="H6" i="21"/>
  <c r="E6" i="21"/>
  <c r="H43" i="21" l="1"/>
  <c r="K50" i="21"/>
  <c r="K59" i="21"/>
  <c r="N50" i="21"/>
  <c r="L60" i="21"/>
  <c r="N59" i="21"/>
  <c r="K23" i="21"/>
  <c r="P60" i="21"/>
  <c r="E43" i="21"/>
  <c r="N23" i="21"/>
  <c r="H59" i="21"/>
  <c r="G60" i="21"/>
  <c r="F60" i="21"/>
  <c r="K43" i="21"/>
  <c r="H50" i="21"/>
  <c r="E59" i="21"/>
  <c r="Q59" i="21"/>
  <c r="I60" i="21"/>
  <c r="M60" i="21"/>
  <c r="E50" i="21"/>
  <c r="D60" i="21"/>
  <c r="O60" i="21"/>
  <c r="Q50" i="21"/>
  <c r="Q23" i="21"/>
  <c r="J60" i="21"/>
  <c r="H23" i="21"/>
  <c r="H57" i="21"/>
  <c r="N43" i="21"/>
  <c r="N60" i="21" l="1"/>
  <c r="K60" i="21"/>
  <c r="Q60" i="21"/>
  <c r="H60" i="21"/>
  <c r="L59" i="19"/>
  <c r="K59" i="19"/>
  <c r="J59" i="19"/>
  <c r="I59" i="19"/>
  <c r="H59" i="19"/>
  <c r="G59" i="19"/>
  <c r="F59" i="19"/>
  <c r="E59" i="19"/>
  <c r="D59" i="19"/>
  <c r="C59" i="19"/>
  <c r="L50" i="19"/>
  <c r="K50" i="19"/>
  <c r="J50" i="19"/>
  <c r="I50" i="19"/>
  <c r="H50" i="19"/>
  <c r="G50" i="19"/>
  <c r="F50" i="19"/>
  <c r="E50" i="19"/>
  <c r="D50" i="19"/>
  <c r="C50" i="19"/>
  <c r="L43" i="19"/>
  <c r="K43" i="19"/>
  <c r="J43" i="19"/>
  <c r="I43" i="19"/>
  <c r="H43" i="19"/>
  <c r="G43" i="19"/>
  <c r="F43" i="19"/>
  <c r="D43" i="19"/>
  <c r="C41" i="19"/>
  <c r="C43" i="19" s="1"/>
  <c r="E25" i="19"/>
  <c r="E43" i="19" s="1"/>
  <c r="L23" i="19"/>
  <c r="J23" i="19"/>
  <c r="I23" i="19"/>
  <c r="H23" i="19"/>
  <c r="G23" i="19"/>
  <c r="F23" i="19"/>
  <c r="E23" i="19"/>
  <c r="C13" i="19"/>
  <c r="D10" i="19"/>
  <c r="C10" i="19"/>
  <c r="D7" i="19"/>
  <c r="D23" i="19" s="1"/>
  <c r="C6" i="19"/>
  <c r="C23" i="19" s="1"/>
  <c r="H60" i="19" l="1"/>
  <c r="D60" i="19"/>
  <c r="F60" i="19"/>
  <c r="G60" i="19"/>
  <c r="J60" i="19"/>
  <c r="I60" i="19"/>
  <c r="K60" i="19"/>
  <c r="L60" i="19"/>
  <c r="C60" i="19"/>
  <c r="E60" i="19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C50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D43" i="2"/>
  <c r="E43" i="2"/>
  <c r="F43" i="2"/>
  <c r="G43" i="2"/>
  <c r="H43" i="2"/>
  <c r="C43" i="2"/>
  <c r="G58" i="10"/>
  <c r="F58" i="10"/>
  <c r="E58" i="10"/>
  <c r="D58" i="10"/>
  <c r="G49" i="10"/>
  <c r="F49" i="10"/>
  <c r="E49" i="10"/>
  <c r="D49" i="10"/>
  <c r="G42" i="10"/>
  <c r="F42" i="10"/>
  <c r="E42" i="10"/>
  <c r="D42" i="10"/>
  <c r="G22" i="10"/>
  <c r="F22" i="10"/>
  <c r="E22" i="10"/>
  <c r="D22" i="10"/>
  <c r="O59" i="1"/>
  <c r="AF59" i="1"/>
  <c r="AE59" i="1"/>
  <c r="AD59" i="1"/>
  <c r="AA59" i="1"/>
  <c r="Z59" i="1"/>
  <c r="Y59" i="1"/>
  <c r="X59" i="1"/>
  <c r="W59" i="1"/>
  <c r="V59" i="1"/>
  <c r="U59" i="1"/>
  <c r="T59" i="1"/>
  <c r="S59" i="1"/>
  <c r="R59" i="1"/>
  <c r="Q59" i="1"/>
  <c r="P59" i="1"/>
  <c r="N59" i="1"/>
  <c r="M59" i="1"/>
  <c r="L59" i="1"/>
  <c r="K59" i="1"/>
  <c r="J59" i="1"/>
  <c r="I59" i="1"/>
  <c r="H59" i="1"/>
  <c r="G59" i="1"/>
  <c r="F59" i="1"/>
  <c r="E59" i="1"/>
  <c r="D59" i="1"/>
  <c r="AF50" i="1"/>
  <c r="AE50" i="1"/>
  <c r="AD50" i="1"/>
  <c r="AC50" i="1"/>
  <c r="AB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K23" i="1"/>
  <c r="D59" i="10" l="1"/>
  <c r="F59" i="10"/>
  <c r="E59" i="10"/>
  <c r="G59" i="10"/>
  <c r="C58" i="10"/>
  <c r="C49" i="10"/>
  <c r="C42" i="10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I23" i="2"/>
  <c r="H23" i="2"/>
  <c r="G23" i="2"/>
  <c r="F23" i="2"/>
  <c r="E23" i="2"/>
  <c r="C23" i="2"/>
  <c r="AF43" i="1"/>
  <c r="AF60" i="1" s="1"/>
  <c r="AE43" i="1"/>
  <c r="AE60" i="1" s="1"/>
  <c r="AD43" i="1"/>
  <c r="AD60" i="1" s="1"/>
  <c r="AC43" i="1"/>
  <c r="AC60" i="1" s="1"/>
  <c r="AB43" i="1"/>
  <c r="AB60" i="1" s="1"/>
  <c r="AA43" i="1"/>
  <c r="AA60" i="1" s="1"/>
  <c r="Z43" i="1"/>
  <c r="Z60" i="1" s="1"/>
  <c r="Y43" i="1"/>
  <c r="Y60" i="1" s="1"/>
  <c r="X43" i="1"/>
  <c r="X60" i="1" s="1"/>
  <c r="W43" i="1"/>
  <c r="W60" i="1" s="1"/>
  <c r="V43" i="1"/>
  <c r="V60" i="1" s="1"/>
  <c r="U43" i="1"/>
  <c r="U60" i="1" s="1"/>
  <c r="T43" i="1"/>
  <c r="T60" i="1" s="1"/>
  <c r="S43" i="1"/>
  <c r="S60" i="1" s="1"/>
  <c r="R43" i="1"/>
  <c r="R60" i="1" s="1"/>
  <c r="Q43" i="1"/>
  <c r="Q60" i="1" s="1"/>
  <c r="P43" i="1"/>
  <c r="P60" i="1" s="1"/>
  <c r="O43" i="1"/>
  <c r="O60" i="1" s="1"/>
  <c r="N43" i="1"/>
  <c r="N60" i="1" s="1"/>
  <c r="M43" i="1"/>
  <c r="M60" i="1" s="1"/>
  <c r="L43" i="1"/>
  <c r="K43" i="1"/>
  <c r="K60" i="1" s="1"/>
  <c r="J43" i="1"/>
  <c r="I43" i="1"/>
  <c r="H43" i="1"/>
  <c r="G43" i="1"/>
  <c r="F43" i="1"/>
  <c r="E43" i="1"/>
  <c r="D43" i="1"/>
  <c r="G23" i="1"/>
  <c r="E23" i="1"/>
  <c r="D23" i="1"/>
  <c r="D60" i="1" l="1"/>
  <c r="E60" i="1"/>
  <c r="G60" i="1"/>
  <c r="C59" i="1"/>
  <c r="C50" i="1"/>
  <c r="C43" i="1"/>
  <c r="C23" i="1"/>
  <c r="J18" i="1"/>
  <c r="J23" i="1" s="1"/>
  <c r="J60" i="1" s="1"/>
  <c r="I18" i="1"/>
  <c r="F18" i="1"/>
  <c r="F23" i="1" s="1"/>
  <c r="F60" i="1" s="1"/>
  <c r="H7" i="1"/>
  <c r="H23" i="1" s="1"/>
  <c r="H60" i="1" s="1"/>
  <c r="L18" i="1" l="1"/>
  <c r="L23" i="1" s="1"/>
  <c r="L60" i="1" s="1"/>
  <c r="I23" i="1"/>
  <c r="I60" i="1" s="1"/>
  <c r="C60" i="1"/>
  <c r="C22" i="10"/>
  <c r="O13" i="13" l="1"/>
  <c r="C13" i="13"/>
  <c r="F13" i="13"/>
  <c r="L13" i="13" l="1"/>
  <c r="I13" i="13"/>
  <c r="Q12" i="13"/>
  <c r="N12" i="13"/>
  <c r="K12" i="13"/>
  <c r="Q11" i="13"/>
  <c r="N11" i="13"/>
  <c r="K11" i="13"/>
  <c r="Q10" i="13"/>
  <c r="N10" i="13"/>
  <c r="K10" i="13"/>
  <c r="H10" i="13"/>
  <c r="Q9" i="13"/>
  <c r="N9" i="13"/>
  <c r="K9" i="13"/>
  <c r="H9" i="13"/>
  <c r="Q8" i="13"/>
  <c r="N8" i="13"/>
  <c r="K8" i="13"/>
  <c r="H8" i="13"/>
  <c r="E8" i="13"/>
  <c r="N7" i="13"/>
  <c r="K7" i="13"/>
  <c r="H7" i="13"/>
  <c r="N6" i="13"/>
  <c r="K6" i="13"/>
  <c r="E6" i="13"/>
  <c r="H6" i="13"/>
  <c r="Q13" i="13" l="1"/>
  <c r="N13" i="13"/>
  <c r="E13" i="13"/>
  <c r="K13" i="13"/>
  <c r="H13" i="13"/>
  <c r="C59" i="10" l="1"/>
  <c r="AF58" i="2" l="1"/>
  <c r="AF59" i="2" s="1"/>
  <c r="AE58" i="2"/>
  <c r="AE59" i="2" s="1"/>
  <c r="AD58" i="2"/>
  <c r="AD59" i="2" s="1"/>
  <c r="AC58" i="2"/>
  <c r="AC59" i="2" s="1"/>
  <c r="AB58" i="2"/>
  <c r="AB59" i="2" s="1"/>
  <c r="AA58" i="2"/>
  <c r="AA59" i="2" s="1"/>
  <c r="Z58" i="2"/>
  <c r="Z59" i="2" s="1"/>
  <c r="Y58" i="2"/>
  <c r="Y59" i="2" s="1"/>
  <c r="X58" i="2"/>
  <c r="X59" i="2" s="1"/>
  <c r="W58" i="2"/>
  <c r="W59" i="2" s="1"/>
  <c r="V58" i="2"/>
  <c r="V59" i="2" s="1"/>
  <c r="U58" i="2"/>
  <c r="U59" i="2" s="1"/>
  <c r="T58" i="2"/>
  <c r="T59" i="2" s="1"/>
  <c r="S58" i="2"/>
  <c r="S59" i="2" s="1"/>
  <c r="R58" i="2"/>
  <c r="R59" i="2" s="1"/>
  <c r="Q58" i="2"/>
  <c r="Q59" i="2" s="1"/>
  <c r="P58" i="2"/>
  <c r="P59" i="2" s="1"/>
  <c r="O58" i="2"/>
  <c r="O59" i="2" s="1"/>
  <c r="N58" i="2"/>
  <c r="M58" i="2"/>
  <c r="L58" i="2"/>
  <c r="K58" i="2"/>
  <c r="J58" i="2"/>
  <c r="I58" i="2"/>
  <c r="H58" i="2"/>
  <c r="H59" i="2" s="1"/>
  <c r="G58" i="2"/>
  <c r="F58" i="2"/>
  <c r="E58" i="2"/>
  <c r="D58" i="2"/>
  <c r="C58" i="2"/>
  <c r="D23" i="2"/>
  <c r="J23" i="2"/>
  <c r="J59" i="2" l="1"/>
  <c r="D59" i="2"/>
  <c r="I59" i="2"/>
  <c r="N59" i="2"/>
  <c r="K59" i="2"/>
  <c r="C59" i="2"/>
  <c r="L59" i="2"/>
  <c r="E59" i="2"/>
  <c r="M59" i="2"/>
  <c r="F59" i="2"/>
  <c r="G59" i="2"/>
  <c r="E23" i="21"/>
  <c r="C60" i="21"/>
  <c r="E60" i="21" s="1"/>
  <c r="Q43" i="21"/>
  <c r="C22" i="21"/>
</calcChain>
</file>

<file path=xl/sharedStrings.xml><?xml version="1.0" encoding="utf-8"?>
<sst xmlns="http://schemas.openxmlformats.org/spreadsheetml/2006/main" count="625" uniqueCount="203">
  <si>
    <t>Name of the Railway PSU</t>
  </si>
  <si>
    <t>2018-19</t>
  </si>
  <si>
    <t>2019-20</t>
  </si>
  <si>
    <t>Total Equity</t>
  </si>
  <si>
    <t>Central Govt.</t>
  </si>
  <si>
    <t>State Govt.</t>
  </si>
  <si>
    <t>SGC</t>
  </si>
  <si>
    <t>FI and others</t>
  </si>
  <si>
    <t>Indian Railway Catering and Tourism Corporation Limited</t>
  </si>
  <si>
    <t>Indian Railway Finance Corporation Limited</t>
  </si>
  <si>
    <t>IRCON International Limited</t>
  </si>
  <si>
    <t>Rail Vikas Nigam Limited</t>
  </si>
  <si>
    <t>RailTel Corporation of India Limited</t>
  </si>
  <si>
    <t>RITES Limited</t>
  </si>
  <si>
    <t>Burn Standard Company Limited</t>
  </si>
  <si>
    <t>Kolkata Metro Rail Corporation Ltd.</t>
  </si>
  <si>
    <t>Konkan Railway Corporation Limited</t>
  </si>
  <si>
    <t>NRTU Foundation</t>
  </si>
  <si>
    <t>TOTAL</t>
  </si>
  <si>
    <t>Railtel Enterprises Limited</t>
  </si>
  <si>
    <t>Indian Railway Station Development Corporation Limited</t>
  </si>
  <si>
    <t>SAIL RITES Bengal Wagon Industries Limited</t>
  </si>
  <si>
    <t>National High Speed Rail Corporation Limited</t>
  </si>
  <si>
    <t>Maharashtra Rail Infrastructure Development Corporation Limited</t>
  </si>
  <si>
    <t>Haridaspur Paradeep Railway Company Limited</t>
  </si>
  <si>
    <t>Kutch Railway Company Limited</t>
  </si>
  <si>
    <t>Angul Sukinda Railway Limited</t>
  </si>
  <si>
    <t>Pipavav Railway Corporation Limited</t>
  </si>
  <si>
    <t>Hassan Mangalore Rail Development Company Limited</t>
  </si>
  <si>
    <t>GRAND TOTAL</t>
  </si>
  <si>
    <t>Total LT loans</t>
  </si>
  <si>
    <t>GoI</t>
  </si>
  <si>
    <t>CG Cos</t>
  </si>
  <si>
    <t>SG</t>
  </si>
  <si>
    <t>FI and Others</t>
  </si>
  <si>
    <t>Container Corporation of India Limited</t>
  </si>
  <si>
    <t>Sl. No.</t>
  </si>
  <si>
    <t>Indian Railway Finance Corporation Ltd</t>
  </si>
  <si>
    <t>Rail Tel Corporation of India Limited</t>
  </si>
  <si>
    <t>Mumbai Rail Vikas Corporation</t>
  </si>
  <si>
    <t>Bharat Wagon and Engineering Limited</t>
  </si>
  <si>
    <t>Dedicated Freight Corridor Corporation Ltd</t>
  </si>
  <si>
    <t>Kolkata Metro Rail Corporation</t>
  </si>
  <si>
    <t>Wagon India Ltd.</t>
  </si>
  <si>
    <t>Subsidiaries</t>
  </si>
  <si>
    <t>CONCOR AIR LIMITED</t>
  </si>
  <si>
    <t>Punjab Logistics Infrastructure Limited</t>
  </si>
  <si>
    <t>TOTAL Subsidiaries</t>
  </si>
  <si>
    <t>Joint Ventures</t>
  </si>
  <si>
    <t>Maharashtra Rail Infrastructure Development Corporation Ltd</t>
  </si>
  <si>
    <t>TOTAL JVs</t>
  </si>
  <si>
    <t>Special Purpose Vehicles</t>
  </si>
  <si>
    <t>Kutch Railway Company Ltd</t>
  </si>
  <si>
    <t>Hassan Mangalore Rail Development Corporation</t>
  </si>
  <si>
    <t>Angul Sukinda Railway limited</t>
  </si>
  <si>
    <t>Bharuch Dahej Rail Company Limited</t>
  </si>
  <si>
    <t>Krishnapatnam Rail Company Limited</t>
  </si>
  <si>
    <t>TOTAL SPVs</t>
  </si>
  <si>
    <t>Profit</t>
  </si>
  <si>
    <t>Dividend paid</t>
  </si>
  <si>
    <t>Dividend to be paid</t>
  </si>
  <si>
    <t>Sl. No</t>
  </si>
  <si>
    <t>CONCOR Air Limited</t>
  </si>
  <si>
    <t>Indian Railway Stations Development Corporation Limited</t>
  </si>
  <si>
    <t>Surat Integrated Transportation Development Corporation Limited</t>
  </si>
  <si>
    <t>NA</t>
  </si>
  <si>
    <t>Ircon Infrastructure Services Limited</t>
  </si>
  <si>
    <t xml:space="preserve">Fresh &amp; Healthy Enterprises Limited </t>
  </si>
  <si>
    <t>Maharashtra Rail Infrastrucutre Development Corporation</t>
  </si>
  <si>
    <t>SAIL Rites Bengal Wagon Industry Private Limited</t>
  </si>
  <si>
    <t xml:space="preserve">Railtel Enterprises Limited </t>
  </si>
  <si>
    <t xml:space="preserve">Raitel Enterprises Limited </t>
  </si>
  <si>
    <t>Grand Total</t>
  </si>
  <si>
    <t>Surat Integrated Transporation Development</t>
  </si>
  <si>
    <t>2020-21</t>
  </si>
  <si>
    <t>2021-22</t>
  </si>
  <si>
    <t>2022-23</t>
  </si>
  <si>
    <t>-</t>
  </si>
  <si>
    <t>Under Liquidation</t>
  </si>
  <si>
    <t>Dissolved</t>
  </si>
  <si>
    <t>IRCON Gurgaon Rewari Highway Limited</t>
  </si>
  <si>
    <t>Incorporated in January 2022</t>
  </si>
  <si>
    <t>Accounts not due</t>
  </si>
  <si>
    <t>Incorporated in December 2021</t>
  </si>
  <si>
    <t>IRCON Renewable Power Limited</t>
  </si>
  <si>
    <t>Under liquidation</t>
  </si>
  <si>
    <t xml:space="preserve">Dissolved </t>
  </si>
  <si>
    <t>dissolved</t>
  </si>
  <si>
    <t>IRCON  Bhoj Morbe Expressway Limited</t>
  </si>
  <si>
    <t>Incorporated in December 2020</t>
  </si>
  <si>
    <t>HSRC Infra Services Limited</t>
  </si>
  <si>
    <t>Haridaspur Paradip Railway Company Limited</t>
  </si>
  <si>
    <t>Dedicated Freight Corridor Corporation of India Limited</t>
  </si>
  <si>
    <t>Railway Sports Promotion Board</t>
  </si>
  <si>
    <t>Total</t>
  </si>
  <si>
    <t>Market Capitalisation of Railway Commercial Undertakings</t>
  </si>
  <si>
    <t>Railway Commercial Undertakings</t>
  </si>
  <si>
    <t>As on 31 March 2021</t>
  </si>
  <si>
    <t>As on 31 March 2022</t>
  </si>
  <si>
    <t>As on 31 March 2023</t>
  </si>
  <si>
    <t>Market Price</t>
  </si>
  <si>
    <t>Market Capitalisation</t>
  </si>
  <si>
    <t>No. of Shares</t>
  </si>
  <si>
    <t>(₹/share)</t>
  </si>
  <si>
    <t>(₹ in crore)</t>
  </si>
  <si>
    <r>
      <t>(</t>
    </r>
    <r>
      <rPr>
        <sz val="10"/>
        <color rgb="FF000000"/>
        <rFont val="Arial"/>
        <family val="2"/>
      </rPr>
      <t xml:space="preserve">₹ </t>
    </r>
    <r>
      <rPr>
        <b/>
        <sz val="10"/>
        <color rgb="FF000000"/>
        <rFont val="Times New Roman"/>
        <family val="1"/>
      </rPr>
      <t>in crore)</t>
    </r>
  </si>
  <si>
    <t>(Number)</t>
  </si>
  <si>
    <t>(₹. in crore)</t>
  </si>
  <si>
    <t>As on 31 March 2020</t>
  </si>
  <si>
    <t>As on 31 March 2019</t>
  </si>
  <si>
    <t>Number</t>
  </si>
  <si>
    <t>CG Comp</t>
  </si>
  <si>
    <t>Total LT Loans</t>
  </si>
  <si>
    <r>
      <t>Profitability of Railway PSUs (</t>
    </r>
    <r>
      <rPr>
        <sz val="10.5"/>
        <rFont val="Trebuchet MS"/>
        <family val="2"/>
      </rPr>
      <t xml:space="preserve">₹ </t>
    </r>
    <r>
      <rPr>
        <b/>
        <sz val="10.5"/>
        <rFont val="Times New Roman"/>
        <family val="1"/>
      </rPr>
      <t>in crore)</t>
    </r>
  </si>
  <si>
    <r>
      <t>Payment of dividend by Railway PSUs  (</t>
    </r>
    <r>
      <rPr>
        <sz val="11"/>
        <rFont val="Trebuchet MS"/>
        <family val="2"/>
      </rPr>
      <t xml:space="preserve">₹ </t>
    </r>
    <r>
      <rPr>
        <b/>
        <sz val="11"/>
        <rFont val="Times New Roman"/>
        <family val="1"/>
      </rPr>
      <t>in crore)</t>
    </r>
  </si>
  <si>
    <r>
      <t>RoE (</t>
    </r>
    <r>
      <rPr>
        <b/>
        <i/>
        <sz val="9.5"/>
        <rFont val="Times New Roman"/>
        <family val="1"/>
      </rPr>
      <t>per cent</t>
    </r>
    <r>
      <rPr>
        <b/>
        <sz val="9.5"/>
        <rFont val="Times New Roman"/>
        <family val="1"/>
      </rPr>
      <t>)</t>
    </r>
  </si>
  <si>
    <t>Bharuch Dahej Railway Company Limited</t>
  </si>
  <si>
    <t>Indian Railway Finance Corporation</t>
  </si>
  <si>
    <t>Ircon International Limited</t>
  </si>
  <si>
    <t>Braithwaite and Co. Limited</t>
  </si>
  <si>
    <t>Mumbai Railway Vikas Corporation Ltd.</t>
  </si>
  <si>
    <t>Fresh &amp; Healthy Enterprises Limited</t>
  </si>
  <si>
    <t>SIDCUL CONCOR Infra Company Limited</t>
  </si>
  <si>
    <t>Ircon PB Tollway Limited</t>
  </si>
  <si>
    <t>Ircon Gurgoan Rewari Highway Limited</t>
  </si>
  <si>
    <t>Ircon Haridwar Bypass Limited</t>
  </si>
  <si>
    <t>Ircon Ludhiana Rupnagar Highway Limited</t>
  </si>
  <si>
    <t>Ircon Bhoj Morbe Expressway Limited</t>
  </si>
  <si>
    <t>Ircon Renewable Power Limited</t>
  </si>
  <si>
    <t>RailTel Enterprises Limited</t>
  </si>
  <si>
    <t xml:space="preserve">Surat Integrated Transportation Development Corporation Limited </t>
  </si>
  <si>
    <t>SAIL RITES Bengal Wagon Industry Private Limited</t>
  </si>
  <si>
    <t>Krishnapatnam Railway Company Limited</t>
  </si>
  <si>
    <t>Railway Companies</t>
  </si>
  <si>
    <t xml:space="preserve">Indian Railway Finance Corporation </t>
  </si>
  <si>
    <t>Ircon Shivpuri Guna Tollway Limited</t>
  </si>
  <si>
    <t>Ircon Davangere Haveri Highway Limited</t>
  </si>
  <si>
    <t>Ircon Vadodara Kim Expressway Limited</t>
  </si>
  <si>
    <t>Ircon Akloli -Shirsad Expressway Limited</t>
  </si>
  <si>
    <t xml:space="preserve">Dedicated Freight Corridor Corporation of India Limited </t>
  </si>
  <si>
    <t xml:space="preserve">Container Corporation of India Limited </t>
  </si>
  <si>
    <t>Ircon Davanagere Haveri Highway Limited</t>
  </si>
  <si>
    <t>Ircon Akloli-Shirsad Expressway Limited</t>
  </si>
  <si>
    <t>Mumbai Rail Vikas Corporation Ltd.</t>
  </si>
  <si>
    <t>Ircon Infrastructure &amp; Services Limited</t>
  </si>
  <si>
    <t>REMC Limited</t>
  </si>
  <si>
    <t>TOTAL Railway Companies</t>
  </si>
  <si>
    <t>Wagon Inda Limited (Under Liquidation)</t>
  </si>
  <si>
    <t>NO SHAREHOLDING</t>
  </si>
  <si>
    <t>UNDER LIQUIDATION</t>
  </si>
  <si>
    <t>Incoporated in January 2022</t>
  </si>
  <si>
    <t>Incoporated in December 2021</t>
  </si>
  <si>
    <t>Kolkata Metro Rail Corporation Limited</t>
  </si>
  <si>
    <t>Maharashtra Rail Infrastrucutre Development Corporation Limited</t>
  </si>
  <si>
    <t>Wagon India Limited</t>
  </si>
  <si>
    <t>Surat Integrated Transportation  Corporation Limited</t>
  </si>
  <si>
    <t>SAIL RITES Bengal Wagon Industr Private Limited</t>
  </si>
  <si>
    <t>Haridaspur Paradip Railway Company Limited, Bhubanaswer</t>
  </si>
  <si>
    <t>Return on Equity of Railway Commercial Undertakings</t>
  </si>
  <si>
    <t xml:space="preserve">Indian Railway Finance Corporation Limited </t>
  </si>
  <si>
    <t xml:space="preserve">Burn Standard Corporation Limited </t>
  </si>
  <si>
    <t xml:space="preserve">Wagon India Limited </t>
  </si>
  <si>
    <t xml:space="preserve">SIDCUL CONCOR Infra Company Limited </t>
  </si>
  <si>
    <t>Ircon Gurgaon Rewari Highway Limited</t>
  </si>
  <si>
    <t>Net Worth</t>
  </si>
  <si>
    <t>30 % of Profit</t>
  </si>
  <si>
    <t>5 % of Net worth</t>
  </si>
  <si>
    <t>Ircon Ludhiana Rupnagar Highway Limited$</t>
  </si>
  <si>
    <t>IRCON Bhoj Morbe Expressway Limited#</t>
  </si>
  <si>
    <t>0#</t>
  </si>
  <si>
    <t>0$</t>
  </si>
  <si>
    <t>$ RSPB does not have any share capital contribution by MoR</t>
  </si>
  <si>
    <t>Railway Sports Promotion Board $</t>
  </si>
  <si>
    <t>Shortfall</t>
  </si>
  <si>
    <t>Nil</t>
  </si>
  <si>
    <r>
      <t xml:space="preserve">$ The Company incurred a loss of </t>
    </r>
    <r>
      <rPr>
        <sz val="10.5"/>
        <rFont val="Indian Rupee"/>
      </rPr>
      <t>`</t>
    </r>
    <r>
      <rPr>
        <sz val="10.5"/>
        <rFont val="Times New Roman"/>
        <family val="1"/>
      </rPr>
      <t xml:space="preserve"> 0.01 lakh during the year</t>
    </r>
  </si>
  <si>
    <r>
      <t xml:space="preserve"># IRCON Bhoj Morbe Express way Ltd incurred a loss of  </t>
    </r>
    <r>
      <rPr>
        <sz val="10.5"/>
        <rFont val="Indian Rupee"/>
      </rPr>
      <t>`</t>
    </r>
    <r>
      <rPr>
        <sz val="10.5"/>
        <rFont val="Times New Roman"/>
        <family val="1"/>
      </rPr>
      <t>0.012 lakh during the year</t>
    </r>
  </si>
  <si>
    <r>
      <t>Ircon Ludhiana Rupnagar Highway Limited</t>
    </r>
    <r>
      <rPr>
        <b/>
        <sz val="12"/>
        <rFont val="Times New Roman"/>
        <family val="1"/>
      </rPr>
      <t>$</t>
    </r>
  </si>
  <si>
    <r>
      <t>IRCON  Bhoj Morbe Expressway Limited</t>
    </r>
    <r>
      <rPr>
        <b/>
        <sz val="12"/>
        <rFont val="Times New Roman"/>
        <family val="1"/>
      </rPr>
      <t>#</t>
    </r>
  </si>
  <si>
    <t>Container Corporation of India Limited*</t>
  </si>
  <si>
    <t>Indian Railway Catering and Tourism Corporation Limited*</t>
  </si>
  <si>
    <t>Indian Railway Finance Corporation *</t>
  </si>
  <si>
    <t>Ircon International Limited*</t>
  </si>
  <si>
    <t>Rail Vikas Nigam Limited*</t>
  </si>
  <si>
    <t>RailTel Corporation of India Limited*</t>
  </si>
  <si>
    <t>RITES Limited*</t>
  </si>
  <si>
    <t>* Listed Company</t>
  </si>
  <si>
    <t xml:space="preserve">defunct </t>
  </si>
  <si>
    <t>Payment of Dividend by the Railway Public Sector Enterprises in 2022-23 (₹ in crore)</t>
  </si>
  <si>
    <t>Annexure-3.2</t>
  </si>
  <si>
    <t>Annexure-3.3</t>
  </si>
  <si>
    <t>Annexure-3.4</t>
  </si>
  <si>
    <r>
      <t>Total Long Term Loans from Government of India and others (</t>
    </r>
    <r>
      <rPr>
        <sz val="12"/>
        <rFont val="Trebuchet MS"/>
        <family val="2"/>
      </rPr>
      <t xml:space="preserve">₹ </t>
    </r>
    <r>
      <rPr>
        <b/>
        <sz val="12"/>
        <rFont val="Times New Roman"/>
        <family val="1"/>
      </rPr>
      <t>in crore)</t>
    </r>
  </si>
  <si>
    <r>
      <t>Total investment of the Government of India and Central Govt. Companies/State Govt./ State Govt. Companies etc. in Equity of Railway PSUs (</t>
    </r>
    <r>
      <rPr>
        <b/>
        <sz val="12"/>
        <rFont val="Trebuchet MS"/>
        <family val="2"/>
      </rPr>
      <t xml:space="preserve">₹ </t>
    </r>
    <r>
      <rPr>
        <b/>
        <sz val="12"/>
        <rFont val="Times New Roman"/>
        <family val="1"/>
      </rPr>
      <t>in crore)</t>
    </r>
  </si>
  <si>
    <t>Annexure 3.5</t>
  </si>
  <si>
    <t>Annexure 3.6</t>
  </si>
  <si>
    <t>Annexure 3.7</t>
  </si>
  <si>
    <t>Annexure 3.8</t>
  </si>
  <si>
    <t>$ The Company incurred a loss of ₹ 0.01 lakh during the year</t>
  </si>
  <si>
    <r>
      <t>Net worth (</t>
    </r>
    <r>
      <rPr>
        <sz val="9.5"/>
        <rFont val="Times New Roman"/>
        <family val="1"/>
      </rPr>
      <t xml:space="preserve">₹ </t>
    </r>
    <r>
      <rPr>
        <b/>
        <sz val="9.5"/>
        <rFont val="Times New Roman"/>
        <family val="1"/>
      </rPr>
      <t>in crore)</t>
    </r>
  </si>
  <si>
    <r>
      <t>Profit (</t>
    </r>
    <r>
      <rPr>
        <sz val="9.5"/>
        <rFont val="Times New Roman"/>
        <family val="1"/>
      </rPr>
      <t xml:space="preserve">₹ </t>
    </r>
    <r>
      <rPr>
        <b/>
        <sz val="9.5"/>
        <rFont val="Times New Roman"/>
        <family val="1"/>
      </rPr>
      <t>in crore)</t>
    </r>
  </si>
  <si>
    <t># IRCON Bhoj Morbe Express way Ltd incurred a loss of  ₹ 0.012 lakh during the year</t>
  </si>
  <si>
    <t xml:space="preserve">REMC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</si>
</sst>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9.5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.5"/>
      <name val="Trebuchet MS"/>
      <family val="2"/>
    </font>
    <font>
      <sz val="12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1"/>
      <name val="Trebuchet MS"/>
      <family val="2"/>
    </font>
    <font>
      <sz val="11"/>
      <name val="Times New Roman"/>
      <family val="1"/>
    </font>
    <font>
      <b/>
      <i/>
      <sz val="9.5"/>
      <name val="Times New Roman"/>
      <family val="1"/>
    </font>
    <font>
      <sz val="9.5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sz val="10.5"/>
      <name val="Indian Rupee"/>
    </font>
    <font>
      <b/>
      <sz val="10"/>
      <color rgb="FFFF0000"/>
      <name val="Times New Roman"/>
      <family val="1"/>
    </font>
    <font>
      <sz val="12"/>
      <name val="Trebuchet MS"/>
      <family val="2"/>
    </font>
    <font>
      <b/>
      <sz val="12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/>
    <xf numFmtId="0" fontId="2" fillId="0" borderId="0" xfId="0" applyFont="1"/>
    <xf numFmtId="1" fontId="0" fillId="0" borderId="0" xfId="0" applyNumberFormat="1" applyAlignment="1">
      <alignment vertical="top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2" fontId="18" fillId="0" borderId="0" xfId="0" applyNumberFormat="1" applyFont="1" applyAlignment="1">
      <alignment horizontal="right" vertical="top"/>
    </xf>
    <xf numFmtId="0" fontId="6" fillId="2" borderId="0" xfId="0" applyFont="1" applyFill="1" applyAlignment="1">
      <alignment vertical="top"/>
    </xf>
    <xf numFmtId="0" fontId="14" fillId="3" borderId="1" xfId="0" applyFont="1" applyFill="1" applyBorder="1" applyAlignment="1">
      <alignment vertical="top"/>
    </xf>
    <xf numFmtId="0" fontId="14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right" vertical="top" wrapText="1"/>
    </xf>
    <xf numFmtId="0" fontId="14" fillId="3" borderId="1" xfId="0" applyFont="1" applyFill="1" applyBorder="1" applyAlignment="1">
      <alignment horizontal="right" vertical="top"/>
    </xf>
    <xf numFmtId="0" fontId="21" fillId="3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vertical="top"/>
    </xf>
    <xf numFmtId="0" fontId="14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right" vertical="top" wrapText="1"/>
    </xf>
    <xf numFmtId="0" fontId="14" fillId="4" borderId="1" xfId="0" applyFont="1" applyFill="1" applyBorder="1" applyAlignment="1">
      <alignment horizontal="right" vertical="top"/>
    </xf>
    <xf numFmtId="2" fontId="14" fillId="4" borderId="1" xfId="0" applyNumberFormat="1" applyFont="1" applyFill="1" applyBorder="1" applyAlignment="1">
      <alignment horizontal="right" vertical="top"/>
    </xf>
    <xf numFmtId="0" fontId="21" fillId="4" borderId="1" xfId="0" applyFont="1" applyFill="1" applyBorder="1" applyAlignment="1">
      <alignment horizontal="right" vertical="top" wrapText="1"/>
    </xf>
    <xf numFmtId="0" fontId="14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right" vertical="top"/>
    </xf>
    <xf numFmtId="0" fontId="14" fillId="4" borderId="0" xfId="0" applyFont="1" applyFill="1" applyAlignment="1">
      <alignment vertical="top"/>
    </xf>
    <xf numFmtId="0" fontId="14" fillId="4" borderId="6" xfId="0" applyFont="1" applyFill="1" applyBorder="1" applyAlignment="1">
      <alignment vertical="top"/>
    </xf>
    <xf numFmtId="0" fontId="14" fillId="4" borderId="6" xfId="0" applyFont="1" applyFill="1" applyBorder="1" applyAlignment="1">
      <alignment horizontal="right" vertical="top" wrapText="1"/>
    </xf>
    <xf numFmtId="0" fontId="6" fillId="3" borderId="0" xfId="0" applyFont="1" applyFill="1"/>
    <xf numFmtId="0" fontId="6" fillId="4" borderId="0" xfId="0" applyFont="1" applyFill="1" applyAlignment="1">
      <alignment wrapText="1"/>
    </xf>
    <xf numFmtId="0" fontId="6" fillId="4" borderId="0" xfId="0" applyFont="1" applyFill="1"/>
    <xf numFmtId="0" fontId="22" fillId="3" borderId="1" xfId="0" applyFont="1" applyFill="1" applyBorder="1" applyAlignment="1">
      <alignment horizontal="right" vertical="top"/>
    </xf>
    <xf numFmtId="0" fontId="14" fillId="3" borderId="1" xfId="0" applyFont="1" applyFill="1" applyBorder="1" applyAlignment="1">
      <alignment vertical="top" wrapText="1"/>
    </xf>
    <xf numFmtId="0" fontId="22" fillId="3" borderId="1" xfId="0" applyFont="1" applyFill="1" applyBorder="1" applyAlignment="1">
      <alignment vertical="top"/>
    </xf>
    <xf numFmtId="0" fontId="6" fillId="3" borderId="0" xfId="0" applyFont="1" applyFill="1" applyAlignment="1">
      <alignment wrapText="1"/>
    </xf>
    <xf numFmtId="0" fontId="21" fillId="3" borderId="1" xfId="0" applyFont="1" applyFill="1" applyBorder="1" applyAlignment="1">
      <alignment horizontal="right" vertical="top" wrapText="1"/>
    </xf>
    <xf numFmtId="0" fontId="14" fillId="3" borderId="1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vertical="top"/>
    </xf>
    <xf numFmtId="0" fontId="14" fillId="3" borderId="0" xfId="0" applyFont="1" applyFill="1" applyAlignment="1">
      <alignment vertical="top"/>
    </xf>
    <xf numFmtId="2" fontId="6" fillId="3" borderId="0" xfId="0" applyNumberFormat="1" applyFont="1" applyFill="1" applyAlignment="1">
      <alignment vertical="top"/>
    </xf>
    <xf numFmtId="1" fontId="18" fillId="3" borderId="0" xfId="0" applyNumberFormat="1" applyFont="1" applyFill="1" applyAlignment="1">
      <alignment vertical="top"/>
    </xf>
    <xf numFmtId="2" fontId="6" fillId="4" borderId="0" xfId="0" applyNumberFormat="1" applyFont="1" applyFill="1" applyAlignment="1">
      <alignment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2" fontId="14" fillId="3" borderId="1" xfId="0" applyNumberFormat="1" applyFont="1" applyFill="1" applyBorder="1" applyAlignment="1">
      <alignment horizontal="right" vertical="top" wrapText="1"/>
    </xf>
    <xf numFmtId="2" fontId="14" fillId="3" borderId="1" xfId="0" applyNumberFormat="1" applyFont="1" applyFill="1" applyBorder="1" applyAlignment="1">
      <alignment horizontal="right" vertical="top"/>
    </xf>
    <xf numFmtId="2" fontId="5" fillId="3" borderId="1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top" wrapText="1"/>
    </xf>
    <xf numFmtId="164" fontId="14" fillId="3" borderId="1" xfId="0" applyNumberFormat="1" applyFont="1" applyFill="1" applyBorder="1" applyAlignment="1">
      <alignment horizontal="right" vertical="top" wrapText="1"/>
    </xf>
    <xf numFmtId="2" fontId="5" fillId="3" borderId="7" xfId="0" applyNumberFormat="1" applyFont="1" applyFill="1" applyBorder="1" applyAlignment="1">
      <alignment horizontal="right" vertical="top" wrapText="1"/>
    </xf>
    <xf numFmtId="0" fontId="0" fillId="4" borderId="0" xfId="0" applyFill="1" applyAlignment="1">
      <alignment vertical="top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2" fontId="4" fillId="4" borderId="1" xfId="0" applyNumberFormat="1" applyFont="1" applyFill="1" applyBorder="1" applyAlignment="1">
      <alignment horizontal="right" vertical="top" wrapText="1"/>
    </xf>
    <xf numFmtId="2" fontId="14" fillId="4" borderId="1" xfId="0" applyNumberFormat="1" applyFont="1" applyFill="1" applyBorder="1" applyAlignment="1">
      <alignment horizontal="right" vertical="top" wrapText="1"/>
    </xf>
    <xf numFmtId="2" fontId="5" fillId="4" borderId="1" xfId="0" applyNumberFormat="1" applyFont="1" applyFill="1" applyBorder="1" applyAlignment="1">
      <alignment horizontal="right" vertical="top" wrapText="1"/>
    </xf>
    <xf numFmtId="0" fontId="12" fillId="4" borderId="1" xfId="0" applyFont="1" applyFill="1" applyBorder="1" applyAlignment="1">
      <alignment horizontal="left" vertical="top" wrapText="1"/>
    </xf>
    <xf numFmtId="2" fontId="24" fillId="4" borderId="7" xfId="0" applyNumberFormat="1" applyFont="1" applyFill="1" applyBorder="1" applyAlignment="1">
      <alignment vertical="top" wrapText="1"/>
    </xf>
    <xf numFmtId="2" fontId="5" fillId="4" borderId="7" xfId="0" applyNumberFormat="1" applyFont="1" applyFill="1" applyBorder="1" applyAlignment="1">
      <alignment horizontal="right" vertical="top" wrapText="1"/>
    </xf>
    <xf numFmtId="0" fontId="6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 wrapText="1"/>
    </xf>
    <xf numFmtId="0" fontId="5" fillId="3" borderId="9" xfId="0" applyFont="1" applyFill="1" applyBorder="1" applyAlignment="1">
      <alignment horizontal="right" vertical="center" wrapText="1"/>
    </xf>
    <xf numFmtId="2" fontId="5" fillId="3" borderId="9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right" vertical="center" wrapText="1"/>
    </xf>
    <xf numFmtId="0" fontId="4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 wrapText="1"/>
    </xf>
    <xf numFmtId="0" fontId="0" fillId="4" borderId="0" xfId="0" applyFill="1"/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 indent="7"/>
    </xf>
    <xf numFmtId="0" fontId="5" fillId="4" borderId="5" xfId="0" applyFont="1" applyFill="1" applyBorder="1" applyAlignment="1">
      <alignment horizontal="left" vertical="center" wrapText="1" indent="2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 indent="2"/>
    </xf>
    <xf numFmtId="0" fontId="4" fillId="4" borderId="1" xfId="0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 wrapText="1" indent="1"/>
    </xf>
    <xf numFmtId="0" fontId="6" fillId="4" borderId="1" xfId="0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5" fillId="4" borderId="9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right" vertical="center" wrapText="1"/>
    </xf>
    <xf numFmtId="2" fontId="11" fillId="4" borderId="1" xfId="0" applyNumberFormat="1" applyFont="1" applyFill="1" applyBorder="1" applyAlignment="1">
      <alignment horizontal="right" vertical="center" wrapText="1"/>
    </xf>
    <xf numFmtId="0" fontId="2" fillId="4" borderId="0" xfId="0" applyFont="1" applyFill="1"/>
    <xf numFmtId="0" fontId="10" fillId="3" borderId="1" xfId="0" applyFont="1" applyFill="1" applyBorder="1" applyAlignment="1">
      <alignment horizontal="justify" vertical="top" wrapText="1"/>
    </xf>
    <xf numFmtId="0" fontId="6" fillId="4" borderId="0" xfId="0" applyFont="1" applyFill="1" applyAlignment="1">
      <alignment vertical="top"/>
    </xf>
    <xf numFmtId="0" fontId="7" fillId="4" borderId="0" xfId="0" applyFont="1" applyFill="1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3" fillId="3" borderId="1" xfId="0" applyFont="1" applyFill="1" applyBorder="1" applyAlignment="1">
      <alignment horizontal="justify" vertical="top" wrapText="1"/>
    </xf>
    <xf numFmtId="0" fontId="3" fillId="3" borderId="1" xfId="0" applyFont="1" applyFill="1" applyBorder="1" applyAlignment="1">
      <alignment horizontal="right" vertical="top" wrapText="1"/>
    </xf>
    <xf numFmtId="2" fontId="3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justify" vertical="top"/>
    </xf>
    <xf numFmtId="3" fontId="3" fillId="3" borderId="1" xfId="0" applyNumberFormat="1" applyFon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horizontal="right" vertical="top" wrapText="1"/>
    </xf>
    <xf numFmtId="2" fontId="1" fillId="3" borderId="1" xfId="0" applyNumberFormat="1" applyFont="1" applyFill="1" applyBorder="1" applyAlignment="1">
      <alignment horizontal="right" vertical="top" wrapText="1"/>
    </xf>
    <xf numFmtId="0" fontId="0" fillId="4" borderId="1" xfId="0" applyFill="1" applyBorder="1" applyAlignment="1">
      <alignment horizontal="center" vertical="top"/>
    </xf>
    <xf numFmtId="0" fontId="3" fillId="4" borderId="1" xfId="0" applyFont="1" applyFill="1" applyBorder="1" applyAlignment="1">
      <alignment horizontal="justify" vertical="top" wrapText="1"/>
    </xf>
    <xf numFmtId="0" fontId="3" fillId="4" borderId="1" xfId="0" applyFont="1" applyFill="1" applyBorder="1" applyAlignment="1">
      <alignment horizontal="right" vertical="top" wrapText="1"/>
    </xf>
    <xf numFmtId="2" fontId="3" fillId="4" borderId="1" xfId="0" applyNumberFormat="1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/>
    </xf>
    <xf numFmtId="2" fontId="21" fillId="3" borderId="1" xfId="0" applyNumberFormat="1" applyFont="1" applyFill="1" applyBorder="1" applyAlignment="1">
      <alignment horizontal="right" vertical="top" wrapText="1"/>
    </xf>
    <xf numFmtId="1" fontId="14" fillId="3" borderId="1" xfId="0" applyNumberFormat="1" applyFont="1" applyFill="1" applyBorder="1" applyAlignment="1">
      <alignment horizontal="center" vertical="top" wrapText="1"/>
    </xf>
    <xf numFmtId="2" fontId="14" fillId="3" borderId="1" xfId="0" applyNumberFormat="1" applyFont="1" applyFill="1" applyBorder="1" applyAlignment="1">
      <alignment horizontal="left" vertical="top" wrapText="1"/>
    </xf>
    <xf numFmtId="2" fontId="14" fillId="3" borderId="1" xfId="0" applyNumberFormat="1" applyFont="1" applyFill="1" applyBorder="1" applyAlignment="1">
      <alignment vertical="top"/>
    </xf>
    <xf numFmtId="2" fontId="21" fillId="3" borderId="1" xfId="0" applyNumberFormat="1" applyFont="1" applyFill="1" applyBorder="1" applyAlignment="1">
      <alignment vertical="top"/>
    </xf>
    <xf numFmtId="2" fontId="21" fillId="3" borderId="1" xfId="0" applyNumberFormat="1" applyFont="1" applyFill="1" applyBorder="1" applyAlignment="1">
      <alignment horizontal="right" vertical="top"/>
    </xf>
    <xf numFmtId="0" fontId="21" fillId="4" borderId="1" xfId="0" applyFont="1" applyFill="1" applyBorder="1" applyAlignment="1">
      <alignment horizontal="center" vertical="top" wrapText="1"/>
    </xf>
    <xf numFmtId="0" fontId="21" fillId="4" borderId="1" xfId="0" applyFont="1" applyFill="1" applyBorder="1" applyAlignment="1">
      <alignment horizontal="left" vertical="top" wrapText="1"/>
    </xf>
    <xf numFmtId="2" fontId="21" fillId="4" borderId="1" xfId="0" applyNumberFormat="1" applyFont="1" applyFill="1" applyBorder="1" applyAlignment="1">
      <alignment horizontal="right" vertical="top" wrapText="1"/>
    </xf>
    <xf numFmtId="0" fontId="18" fillId="4" borderId="0" xfId="0" applyFont="1" applyFill="1" applyAlignment="1">
      <alignment vertical="top"/>
    </xf>
    <xf numFmtId="1" fontId="14" fillId="4" borderId="1" xfId="0" applyNumberFormat="1" applyFont="1" applyFill="1" applyBorder="1" applyAlignment="1">
      <alignment horizontal="center" vertical="top" wrapText="1"/>
    </xf>
    <xf numFmtId="2" fontId="14" fillId="4" borderId="1" xfId="0" applyNumberFormat="1" applyFont="1" applyFill="1" applyBorder="1" applyAlignment="1">
      <alignment horizontal="left" vertical="top" wrapText="1"/>
    </xf>
    <xf numFmtId="2" fontId="14" fillId="4" borderId="1" xfId="0" applyNumberFormat="1" applyFont="1" applyFill="1" applyBorder="1" applyAlignment="1">
      <alignment horizontal="center" vertical="top"/>
    </xf>
    <xf numFmtId="2" fontId="14" fillId="4" borderId="1" xfId="0" applyNumberFormat="1" applyFont="1" applyFill="1" applyBorder="1" applyAlignment="1">
      <alignment vertical="top"/>
    </xf>
    <xf numFmtId="2" fontId="21" fillId="4" borderId="1" xfId="0" applyNumberFormat="1" applyFont="1" applyFill="1" applyBorder="1" applyAlignment="1">
      <alignment vertical="top"/>
    </xf>
    <xf numFmtId="2" fontId="21" fillId="4" borderId="1" xfId="0" applyNumberFormat="1" applyFont="1" applyFill="1" applyBorder="1" applyAlignment="1">
      <alignment horizontal="right" vertical="top"/>
    </xf>
    <xf numFmtId="0" fontId="16" fillId="4" borderId="0" xfId="0" applyFont="1" applyFill="1" applyAlignment="1">
      <alignment vertical="top"/>
    </xf>
    <xf numFmtId="2" fontId="11" fillId="4" borderId="1" xfId="0" applyNumberFormat="1" applyFont="1" applyFill="1" applyBorder="1" applyAlignment="1">
      <alignment horizontal="left" vertical="top" wrapText="1"/>
    </xf>
    <xf numFmtId="2" fontId="11" fillId="4" borderId="1" xfId="0" applyNumberFormat="1" applyFont="1" applyFill="1" applyBorder="1" applyAlignment="1">
      <alignment horizontal="right" vertical="top" wrapText="1"/>
    </xf>
    <xf numFmtId="1" fontId="12" fillId="4" borderId="1" xfId="0" applyNumberFormat="1" applyFont="1" applyFill="1" applyBorder="1" applyAlignment="1">
      <alignment vertical="top"/>
    </xf>
    <xf numFmtId="2" fontId="12" fillId="4" borderId="1" xfId="0" applyNumberFormat="1" applyFont="1" applyFill="1" applyBorder="1" applyAlignment="1">
      <alignment horizontal="left" vertical="top" wrapText="1"/>
    </xf>
    <xf numFmtId="2" fontId="12" fillId="4" borderId="1" xfId="0" applyNumberFormat="1" applyFont="1" applyFill="1" applyBorder="1" applyAlignment="1">
      <alignment horizontal="right" vertical="top" wrapText="1"/>
    </xf>
    <xf numFmtId="2" fontId="12" fillId="4" borderId="1" xfId="0" applyNumberFormat="1" applyFont="1" applyFill="1" applyBorder="1" applyAlignment="1">
      <alignment horizontal="right" vertical="top"/>
    </xf>
    <xf numFmtId="1" fontId="12" fillId="3" borderId="1" xfId="0" applyNumberFormat="1" applyFont="1" applyFill="1" applyBorder="1" applyAlignment="1">
      <alignment vertical="top"/>
    </xf>
    <xf numFmtId="2" fontId="12" fillId="3" borderId="1" xfId="0" applyNumberFormat="1" applyFont="1" applyFill="1" applyBorder="1" applyAlignment="1">
      <alignment horizontal="left" vertical="top" wrapText="1"/>
    </xf>
    <xf numFmtId="2" fontId="12" fillId="3" borderId="1" xfId="0" applyNumberFormat="1" applyFont="1" applyFill="1" applyBorder="1" applyAlignment="1">
      <alignment horizontal="right" vertical="top" wrapText="1"/>
    </xf>
    <xf numFmtId="2" fontId="12" fillId="3" borderId="1" xfId="0" applyNumberFormat="1" applyFont="1" applyFill="1" applyBorder="1" applyAlignment="1">
      <alignment horizontal="right" vertical="top"/>
    </xf>
    <xf numFmtId="2" fontId="12" fillId="3" borderId="1" xfId="0" applyNumberFormat="1" applyFont="1" applyFill="1" applyBorder="1" applyAlignment="1">
      <alignment horizontal="center" vertical="top"/>
    </xf>
    <xf numFmtId="2" fontId="12" fillId="4" borderId="1" xfId="0" applyNumberFormat="1" applyFont="1" applyFill="1" applyBorder="1" applyAlignment="1">
      <alignment horizontal="center" vertical="top"/>
    </xf>
    <xf numFmtId="2" fontId="12" fillId="4" borderId="1" xfId="0" applyNumberFormat="1" applyFont="1" applyFill="1" applyBorder="1" applyAlignment="1">
      <alignment vertical="top" wrapText="1"/>
    </xf>
    <xf numFmtId="1" fontId="12" fillId="4" borderId="0" xfId="0" applyNumberFormat="1" applyFont="1" applyFill="1" applyAlignment="1">
      <alignment vertical="top"/>
    </xf>
    <xf numFmtId="2" fontId="11" fillId="3" borderId="1" xfId="0" applyNumberFormat="1" applyFont="1" applyFill="1" applyBorder="1" applyAlignment="1">
      <alignment horizontal="left" vertical="top" wrapText="1"/>
    </xf>
    <xf numFmtId="2" fontId="11" fillId="3" borderId="1" xfId="0" applyNumberFormat="1" applyFont="1" applyFill="1" applyBorder="1" applyAlignment="1">
      <alignment horizontal="right" vertical="top" wrapText="1"/>
    </xf>
    <xf numFmtId="2" fontId="11" fillId="3" borderId="1" xfId="0" applyNumberFormat="1" applyFont="1" applyFill="1" applyBorder="1" applyAlignment="1">
      <alignment vertical="top"/>
    </xf>
    <xf numFmtId="2" fontId="12" fillId="3" borderId="1" xfId="0" applyNumberFormat="1" applyFont="1" applyFill="1" applyBorder="1" applyAlignment="1">
      <alignment horizontal="center" vertical="top" wrapText="1"/>
    </xf>
    <xf numFmtId="2" fontId="11" fillId="4" borderId="1" xfId="0" applyNumberFormat="1" applyFont="1" applyFill="1" applyBorder="1" applyAlignment="1">
      <alignment vertical="top"/>
    </xf>
    <xf numFmtId="2" fontId="11" fillId="3" borderId="1" xfId="0" applyNumberFormat="1" applyFont="1" applyFill="1" applyBorder="1" applyAlignment="1">
      <alignment vertical="top" wrapText="1"/>
    </xf>
    <xf numFmtId="2" fontId="11" fillId="4" borderId="1" xfId="0" applyNumberFormat="1" applyFont="1" applyFill="1" applyBorder="1" applyAlignment="1">
      <alignment vertical="top" wrapText="1"/>
    </xf>
    <xf numFmtId="2" fontId="12" fillId="4" borderId="1" xfId="0" applyNumberFormat="1" applyFont="1" applyFill="1" applyBorder="1" applyAlignment="1">
      <alignment horizontal="center" vertical="top" wrapText="1"/>
    </xf>
    <xf numFmtId="1" fontId="12" fillId="3" borderId="0" xfId="0" applyNumberFormat="1" applyFont="1" applyFill="1" applyAlignment="1">
      <alignment vertical="top"/>
    </xf>
    <xf numFmtId="0" fontId="18" fillId="3" borderId="1" xfId="0" applyFont="1" applyFill="1" applyBorder="1"/>
    <xf numFmtId="2" fontId="11" fillId="4" borderId="3" xfId="0" applyNumberFormat="1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0" fontId="18" fillId="4" borderId="10" xfId="0" applyFont="1" applyFill="1" applyBorder="1" applyAlignment="1">
      <alignment vertical="top"/>
    </xf>
    <xf numFmtId="2" fontId="12" fillId="3" borderId="9" xfId="0" applyNumberFormat="1" applyFont="1" applyFill="1" applyBorder="1" applyAlignment="1">
      <alignment vertical="top"/>
    </xf>
    <xf numFmtId="2" fontId="12" fillId="3" borderId="8" xfId="0" applyNumberFormat="1" applyFont="1" applyFill="1" applyBorder="1" applyAlignment="1">
      <alignment vertical="top"/>
    </xf>
    <xf numFmtId="0" fontId="12" fillId="3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wrapText="1"/>
    </xf>
    <xf numFmtId="2" fontId="12" fillId="3" borderId="1" xfId="0" applyNumberFormat="1" applyFont="1" applyFill="1" applyBorder="1" applyAlignment="1">
      <alignment vertical="top"/>
    </xf>
    <xf numFmtId="2" fontId="11" fillId="4" borderId="1" xfId="0" applyNumberFormat="1" applyFont="1" applyFill="1" applyBorder="1" applyAlignment="1">
      <alignment horizontal="right" vertical="top"/>
    </xf>
    <xf numFmtId="0" fontId="12" fillId="4" borderId="1" xfId="0" applyFont="1" applyFill="1" applyBorder="1" applyAlignment="1">
      <alignment vertical="top" wrapText="1"/>
    </xf>
    <xf numFmtId="2" fontId="11" fillId="3" borderId="1" xfId="0" applyNumberFormat="1" applyFont="1" applyFill="1" applyBorder="1" applyAlignment="1">
      <alignment horizontal="right" vertical="top"/>
    </xf>
    <xf numFmtId="0" fontId="11" fillId="3" borderId="1" xfId="0" applyFont="1" applyFill="1" applyBorder="1" applyAlignment="1">
      <alignment horizontal="left" vertical="top" wrapText="1"/>
    </xf>
    <xf numFmtId="2" fontId="12" fillId="4" borderId="9" xfId="0" applyNumberFormat="1" applyFont="1" applyFill="1" applyBorder="1" applyAlignment="1">
      <alignment vertical="top"/>
    </xf>
    <xf numFmtId="2" fontId="12" fillId="4" borderId="8" xfId="0" applyNumberFormat="1" applyFont="1" applyFill="1" applyBorder="1" applyAlignment="1">
      <alignment vertical="top"/>
    </xf>
    <xf numFmtId="0" fontId="10" fillId="3" borderId="1" xfId="0" applyFont="1" applyFill="1" applyBorder="1" applyAlignment="1">
      <alignment vertical="top" wrapText="1"/>
    </xf>
    <xf numFmtId="0" fontId="21" fillId="4" borderId="3" xfId="0" applyFont="1" applyFill="1" applyBorder="1" applyAlignment="1">
      <alignment horizontal="center" vertical="top"/>
    </xf>
    <xf numFmtId="0" fontId="21" fillId="4" borderId="9" xfId="0" applyFont="1" applyFill="1" applyBorder="1" applyAlignment="1">
      <alignment horizontal="center" vertical="top"/>
    </xf>
    <xf numFmtId="0" fontId="21" fillId="4" borderId="8" xfId="0" applyFont="1" applyFill="1" applyBorder="1" applyAlignment="1">
      <alignment horizontal="center" vertical="top"/>
    </xf>
    <xf numFmtId="0" fontId="21" fillId="4" borderId="3" xfId="0" applyFont="1" applyFill="1" applyBorder="1" applyAlignment="1">
      <alignment horizontal="center" vertical="top" wrapText="1"/>
    </xf>
    <xf numFmtId="0" fontId="21" fillId="4" borderId="8" xfId="0" applyFont="1" applyFill="1" applyBorder="1" applyAlignment="1">
      <alignment horizontal="center" vertical="top" wrapText="1"/>
    </xf>
    <xf numFmtId="0" fontId="21" fillId="3" borderId="3" xfId="0" applyFont="1" applyFill="1" applyBorder="1" applyAlignment="1">
      <alignment horizontal="center" vertical="top" wrapText="1"/>
    </xf>
    <xf numFmtId="0" fontId="21" fillId="3" borderId="8" xfId="0" applyFont="1" applyFill="1" applyBorder="1" applyAlignment="1">
      <alignment horizontal="center" vertical="top" wrapText="1"/>
    </xf>
    <xf numFmtId="0" fontId="21" fillId="4" borderId="9" xfId="0" applyFont="1" applyFill="1" applyBorder="1" applyAlignment="1">
      <alignment horizontal="center" vertical="top" wrapText="1"/>
    </xf>
    <xf numFmtId="0" fontId="21" fillId="3" borderId="9" xfId="0" applyFont="1" applyFill="1" applyBorder="1" applyAlignment="1">
      <alignment horizontal="center" vertical="top" wrapText="1"/>
    </xf>
    <xf numFmtId="0" fontId="21" fillId="3" borderId="3" xfId="0" applyFont="1" applyFill="1" applyBorder="1" applyAlignment="1">
      <alignment horizontal="center" vertical="top"/>
    </xf>
    <xf numFmtId="0" fontId="21" fillId="3" borderId="9" xfId="0" applyFont="1" applyFill="1" applyBorder="1" applyAlignment="1">
      <alignment horizontal="center" vertical="top"/>
    </xf>
    <xf numFmtId="0" fontId="21" fillId="3" borderId="8" xfId="0" applyFont="1" applyFill="1" applyBorder="1" applyAlignment="1">
      <alignment horizontal="center" vertical="top"/>
    </xf>
    <xf numFmtId="0" fontId="21" fillId="4" borderId="0" xfId="0" applyFont="1" applyFill="1" applyAlignment="1">
      <alignment horizontal="center" vertical="top"/>
    </xf>
    <xf numFmtId="0" fontId="21" fillId="3" borderId="5" xfId="0" applyFont="1" applyFill="1" applyBorder="1" applyAlignment="1">
      <alignment horizontal="center" vertical="top" wrapText="1"/>
    </xf>
    <xf numFmtId="0" fontId="21" fillId="3" borderId="6" xfId="0" applyFont="1" applyFill="1" applyBorder="1" applyAlignment="1">
      <alignment horizontal="center" vertical="top" wrapText="1"/>
    </xf>
    <xf numFmtId="0" fontId="21" fillId="3" borderId="1" xfId="0" applyFont="1" applyFill="1" applyBorder="1" applyAlignment="1">
      <alignment horizontal="center" vertical="top" wrapText="1"/>
    </xf>
    <xf numFmtId="0" fontId="21" fillId="4" borderId="2" xfId="0" applyFont="1" applyFill="1" applyBorder="1" applyAlignment="1">
      <alignment horizontal="center" vertical="top" wrapText="1"/>
    </xf>
    <xf numFmtId="0" fontId="21" fillId="4" borderId="1" xfId="0" applyFont="1" applyFill="1" applyBorder="1" applyAlignment="1">
      <alignment horizontal="center" vertical="top"/>
    </xf>
    <xf numFmtId="2" fontId="12" fillId="3" borderId="1" xfId="0" applyNumberFormat="1" applyFont="1" applyFill="1" applyBorder="1" applyAlignment="1">
      <alignment horizontal="center" vertical="top"/>
    </xf>
    <xf numFmtId="2" fontId="12" fillId="3" borderId="1" xfId="0" applyNumberFormat="1" applyFont="1" applyFill="1" applyBorder="1" applyAlignment="1">
      <alignment horizontal="center" vertical="top" wrapText="1"/>
    </xf>
    <xf numFmtId="2" fontId="11" fillId="4" borderId="1" xfId="0" applyNumberFormat="1" applyFont="1" applyFill="1" applyBorder="1" applyAlignment="1">
      <alignment horizontal="center" vertical="top" wrapText="1"/>
    </xf>
    <xf numFmtId="2" fontId="11" fillId="3" borderId="3" xfId="0" applyNumberFormat="1" applyFont="1" applyFill="1" applyBorder="1" applyAlignment="1">
      <alignment horizontal="left" vertical="top" wrapText="1"/>
    </xf>
    <xf numFmtId="2" fontId="11" fillId="3" borderId="9" xfId="0" applyNumberFormat="1" applyFont="1" applyFill="1" applyBorder="1" applyAlignment="1">
      <alignment horizontal="left" vertical="top" wrapText="1"/>
    </xf>
    <xf numFmtId="2" fontId="11" fillId="3" borderId="8" xfId="0" applyNumberFormat="1" applyFont="1" applyFill="1" applyBorder="1" applyAlignment="1">
      <alignment horizontal="left" vertical="top" wrapText="1"/>
    </xf>
    <xf numFmtId="2" fontId="21" fillId="3" borderId="2" xfId="0" applyNumberFormat="1" applyFont="1" applyFill="1" applyBorder="1" applyAlignment="1">
      <alignment horizontal="center" vertical="top"/>
    </xf>
    <xf numFmtId="2" fontId="21" fillId="3" borderId="0" xfId="0" applyNumberFormat="1" applyFont="1" applyFill="1" applyAlignment="1">
      <alignment horizontal="center" vertical="top"/>
    </xf>
    <xf numFmtId="2" fontId="11" fillId="4" borderId="1" xfId="0" applyNumberFormat="1" applyFont="1" applyFill="1" applyBorder="1" applyAlignment="1">
      <alignment horizontal="left" vertical="top" wrapText="1"/>
    </xf>
    <xf numFmtId="1" fontId="12" fillId="4" borderId="5" xfId="0" applyNumberFormat="1" applyFont="1" applyFill="1" applyBorder="1" applyAlignment="1">
      <alignment horizontal="center" vertical="top" wrapText="1"/>
    </xf>
    <xf numFmtId="1" fontId="12" fillId="4" borderId="7" xfId="0" applyNumberFormat="1" applyFont="1" applyFill="1" applyBorder="1" applyAlignment="1">
      <alignment horizontal="center" vertical="top" wrapText="1"/>
    </xf>
    <xf numFmtId="2" fontId="11" fillId="4" borderId="3" xfId="0" applyNumberFormat="1" applyFont="1" applyFill="1" applyBorder="1" applyAlignment="1">
      <alignment horizontal="center" vertical="top" wrapText="1"/>
    </xf>
    <xf numFmtId="2" fontId="11" fillId="4" borderId="8" xfId="0" applyNumberFormat="1" applyFont="1" applyFill="1" applyBorder="1" applyAlignment="1">
      <alignment horizontal="center" vertical="top" wrapText="1"/>
    </xf>
    <xf numFmtId="2" fontId="11" fillId="3" borderId="3" xfId="0" applyNumberFormat="1" applyFont="1" applyFill="1" applyBorder="1" applyAlignment="1">
      <alignment horizontal="center" vertical="top"/>
    </xf>
    <xf numFmtId="2" fontId="11" fillId="3" borderId="8" xfId="0" applyNumberFormat="1" applyFont="1" applyFill="1" applyBorder="1" applyAlignment="1">
      <alignment horizontal="center" vertical="top"/>
    </xf>
    <xf numFmtId="2" fontId="11" fillId="4" borderId="11" xfId="0" applyNumberFormat="1" applyFont="1" applyFill="1" applyBorder="1" applyAlignment="1">
      <alignment horizontal="left" vertical="top"/>
    </xf>
    <xf numFmtId="2" fontId="11" fillId="4" borderId="2" xfId="0" applyNumberFormat="1" applyFont="1" applyFill="1" applyBorder="1" applyAlignment="1">
      <alignment horizontal="left" vertical="top"/>
    </xf>
    <xf numFmtId="2" fontId="11" fillId="4" borderId="12" xfId="0" applyNumberFormat="1" applyFont="1" applyFill="1" applyBorder="1" applyAlignment="1">
      <alignment horizontal="left" vertical="top"/>
    </xf>
    <xf numFmtId="2" fontId="12" fillId="4" borderId="1" xfId="0" applyNumberFormat="1" applyFont="1" applyFill="1" applyBorder="1" applyAlignment="1">
      <alignment horizontal="center" vertical="top" wrapText="1"/>
    </xf>
    <xf numFmtId="2" fontId="11" fillId="4" borderId="3" xfId="0" applyNumberFormat="1" applyFont="1" applyFill="1" applyBorder="1" applyAlignment="1">
      <alignment horizontal="left" vertical="top"/>
    </xf>
    <xf numFmtId="2" fontId="11" fillId="4" borderId="9" xfId="0" applyNumberFormat="1" applyFont="1" applyFill="1" applyBorder="1" applyAlignment="1">
      <alignment horizontal="left" vertical="top"/>
    </xf>
    <xf numFmtId="2" fontId="11" fillId="4" borderId="8" xfId="0" applyNumberFormat="1" applyFont="1" applyFill="1" applyBorder="1" applyAlignment="1">
      <alignment horizontal="left" vertical="top"/>
    </xf>
    <xf numFmtId="2" fontId="12" fillId="4" borderId="1" xfId="0" applyNumberFormat="1" applyFont="1" applyFill="1" applyBorder="1" applyAlignment="1">
      <alignment horizontal="center" vertical="top"/>
    </xf>
    <xf numFmtId="2" fontId="11" fillId="4" borderId="9" xfId="0" applyNumberFormat="1" applyFont="1" applyFill="1" applyBorder="1" applyAlignment="1">
      <alignment horizontal="center" vertical="top" wrapText="1"/>
    </xf>
    <xf numFmtId="2" fontId="4" fillId="4" borderId="3" xfId="0" applyNumberFormat="1" applyFont="1" applyFill="1" applyBorder="1" applyAlignment="1">
      <alignment horizontal="center" vertical="top" wrapText="1"/>
    </xf>
    <xf numFmtId="2" fontId="4" fillId="4" borderId="8" xfId="0" applyNumberFormat="1" applyFont="1" applyFill="1" applyBorder="1" applyAlignment="1">
      <alignment horizontal="center" vertical="top" wrapText="1"/>
    </xf>
    <xf numFmtId="2" fontId="11" fillId="3" borderId="1" xfId="0" applyNumberFormat="1" applyFont="1" applyFill="1" applyBorder="1" applyAlignment="1">
      <alignment horizontal="center" vertical="top" wrapText="1"/>
    </xf>
    <xf numFmtId="2" fontId="11" fillId="3" borderId="7" xfId="0" applyNumberFormat="1" applyFont="1" applyFill="1" applyBorder="1" applyAlignment="1">
      <alignment horizontal="center" vertical="top" wrapText="1"/>
    </xf>
    <xf numFmtId="2" fontId="11" fillId="4" borderId="7" xfId="0" applyNumberFormat="1" applyFont="1" applyFill="1" applyBorder="1" applyAlignment="1">
      <alignment horizontal="center" vertical="top" wrapText="1"/>
    </xf>
    <xf numFmtId="2" fontId="15" fillId="3" borderId="3" xfId="0" applyNumberFormat="1" applyFont="1" applyFill="1" applyBorder="1" applyAlignment="1">
      <alignment horizontal="center" vertical="top" wrapText="1"/>
    </xf>
    <xf numFmtId="2" fontId="15" fillId="3" borderId="9" xfId="0" applyNumberFormat="1" applyFont="1" applyFill="1" applyBorder="1" applyAlignment="1">
      <alignment horizontal="center" vertical="top" wrapText="1"/>
    </xf>
    <xf numFmtId="2" fontId="15" fillId="3" borderId="8" xfId="0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top" wrapText="1"/>
    </xf>
    <xf numFmtId="0" fontId="11" fillId="3" borderId="9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wrapText="1"/>
    </xf>
    <xf numFmtId="2" fontId="12" fillId="3" borderId="3" xfId="0" applyNumberFormat="1" applyFont="1" applyFill="1" applyBorder="1" applyAlignment="1">
      <alignment horizontal="center" vertical="top"/>
    </xf>
    <xf numFmtId="2" fontId="12" fillId="3" borderId="9" xfId="0" applyNumberFormat="1" applyFont="1" applyFill="1" applyBorder="1" applyAlignment="1">
      <alignment horizontal="center" vertical="top"/>
    </xf>
    <xf numFmtId="2" fontId="12" fillId="4" borderId="3" xfId="0" applyNumberFormat="1" applyFont="1" applyFill="1" applyBorder="1" applyAlignment="1">
      <alignment horizontal="center" vertical="top"/>
    </xf>
    <xf numFmtId="2" fontId="12" fillId="4" borderId="9" xfId="0" applyNumberFormat="1" applyFont="1" applyFill="1" applyBorder="1" applyAlignment="1">
      <alignment horizontal="center" vertical="top"/>
    </xf>
    <xf numFmtId="0" fontId="11" fillId="4" borderId="1" xfId="0" applyFont="1" applyFill="1" applyBorder="1" applyAlignment="1">
      <alignment horizontal="left" vertical="top" wrapText="1"/>
    </xf>
    <xf numFmtId="2" fontId="12" fillId="4" borderId="8" xfId="0" applyNumberFormat="1" applyFont="1" applyFill="1" applyBorder="1" applyAlignment="1">
      <alignment horizontal="center" vertical="top"/>
    </xf>
    <xf numFmtId="2" fontId="12" fillId="3" borderId="8" xfId="0" applyNumberFormat="1" applyFont="1" applyFill="1" applyBorder="1" applyAlignment="1">
      <alignment horizontal="center" vertical="top"/>
    </xf>
    <xf numFmtId="0" fontId="11" fillId="4" borderId="3" xfId="0" applyFont="1" applyFill="1" applyBorder="1" applyAlignment="1">
      <alignment horizontal="center" vertical="top" wrapText="1"/>
    </xf>
    <xf numFmtId="0" fontId="11" fillId="4" borderId="8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9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16" fillId="4" borderId="3" xfId="0" applyFont="1" applyFill="1" applyBorder="1" applyAlignment="1">
      <alignment horizontal="center" vertical="top"/>
    </xf>
    <xf numFmtId="0" fontId="16" fillId="4" borderId="9" xfId="0" applyFont="1" applyFill="1" applyBorder="1" applyAlignment="1">
      <alignment horizontal="center" vertical="top"/>
    </xf>
    <xf numFmtId="0" fontId="16" fillId="4" borderId="8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top" wrapText="1"/>
    </xf>
    <xf numFmtId="0" fontId="10" fillId="4" borderId="9" xfId="0" applyFont="1" applyFill="1" applyBorder="1" applyAlignment="1">
      <alignment horizontal="center" vertical="top" wrapText="1"/>
    </xf>
    <xf numFmtId="0" fontId="10" fillId="4" borderId="8" xfId="0" applyFont="1" applyFill="1" applyBorder="1" applyAlignment="1">
      <alignment horizontal="center" vertical="top" wrapText="1"/>
    </xf>
    <xf numFmtId="2" fontId="12" fillId="3" borderId="3" xfId="0" applyNumberFormat="1" applyFont="1" applyFill="1" applyBorder="1" applyAlignment="1">
      <alignment horizontal="center" vertical="top" wrapText="1"/>
    </xf>
    <xf numFmtId="2" fontId="12" fillId="3" borderId="9" xfId="0" applyNumberFormat="1" applyFont="1" applyFill="1" applyBorder="1" applyAlignment="1">
      <alignment horizontal="center" vertical="top" wrapText="1"/>
    </xf>
    <xf numFmtId="2" fontId="12" fillId="3" borderId="8" xfId="0" applyNumberFormat="1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2" fontId="21" fillId="3" borderId="1" xfId="0" applyNumberFormat="1" applyFont="1" applyFill="1" applyBorder="1" applyAlignment="1">
      <alignment horizontal="center" vertical="top" wrapText="1"/>
    </xf>
    <xf numFmtId="0" fontId="14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2" fontId="14" fillId="4" borderId="3" xfId="0" applyNumberFormat="1" applyFont="1" applyFill="1" applyBorder="1" applyAlignment="1">
      <alignment horizontal="center" vertical="top" wrapText="1"/>
    </xf>
    <xf numFmtId="2" fontId="14" fillId="4" borderId="9" xfId="0" applyNumberFormat="1" applyFont="1" applyFill="1" applyBorder="1" applyAlignment="1">
      <alignment horizontal="center" vertical="top" wrapText="1"/>
    </xf>
    <xf numFmtId="0" fontId="18" fillId="4" borderId="9" xfId="0" applyFont="1" applyFill="1" applyBorder="1" applyAlignment="1">
      <alignment vertical="top" wrapText="1"/>
    </xf>
    <xf numFmtId="0" fontId="18" fillId="4" borderId="8" xfId="0" applyFont="1" applyFill="1" applyBorder="1" applyAlignment="1">
      <alignment vertical="top" wrapText="1"/>
    </xf>
    <xf numFmtId="2" fontId="21" fillId="4" borderId="1" xfId="0" applyNumberFormat="1" applyFont="1" applyFill="1" applyBorder="1" applyAlignment="1">
      <alignment horizontal="center" vertical="top" wrapText="1"/>
    </xf>
    <xf numFmtId="2" fontId="21" fillId="3" borderId="1" xfId="0" applyNumberFormat="1" applyFont="1" applyFill="1" applyBorder="1" applyAlignment="1">
      <alignment horizontal="left" vertical="top" wrapText="1"/>
    </xf>
    <xf numFmtId="2" fontId="21" fillId="4" borderId="1" xfId="0" applyNumberFormat="1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vertical="top" wrapText="1"/>
    </xf>
    <xf numFmtId="0" fontId="2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0"/>
  <sheetViews>
    <sheetView view="pageBreakPreview" zoomScale="80" zoomScaleNormal="100" zoomScaleSheetLayoutView="80" workbookViewId="0">
      <pane ySplit="4" topLeftCell="A41" activePane="bottomLeft" state="frozen"/>
      <selection pane="bottomLeft" activeCell="B42" sqref="B42"/>
    </sheetView>
  </sheetViews>
  <sheetFormatPr defaultColWidth="9.140625" defaultRowHeight="15" x14ac:dyDescent="0.25"/>
  <cols>
    <col min="1" max="1" width="4.28515625" style="28" customWidth="1"/>
    <col min="2" max="2" width="18.5703125" style="28" customWidth="1"/>
    <col min="3" max="3" width="9.85546875" style="28" customWidth="1"/>
    <col min="4" max="4" width="10.7109375" style="28" customWidth="1"/>
    <col min="5" max="8" width="9.140625" style="28" customWidth="1"/>
    <col min="9" max="9" width="10.5703125" style="28" customWidth="1"/>
    <col min="10" max="10" width="10.140625" style="28" customWidth="1"/>
    <col min="11" max="14" width="9.140625" style="28" customWidth="1"/>
    <col min="15" max="15" width="10.5703125" style="28" customWidth="1"/>
    <col min="16" max="16" width="9.85546875" style="28" customWidth="1"/>
    <col min="17" max="20" width="9.140625" style="28" customWidth="1"/>
    <col min="21" max="21" width="9.85546875" style="28" customWidth="1"/>
    <col min="22" max="22" width="10.140625" style="28" customWidth="1"/>
    <col min="23" max="26" width="9.140625" style="28" customWidth="1"/>
    <col min="27" max="27" width="14.42578125" style="28" customWidth="1"/>
    <col min="28" max="28" width="10.28515625" style="28" customWidth="1"/>
    <col min="29" max="32" width="9.140625" style="28" customWidth="1"/>
    <col min="33" max="16384" width="9.140625" style="28"/>
  </cols>
  <sheetData>
    <row r="1" spans="1:32" s="30" customFormat="1" ht="15.75" x14ac:dyDescent="0.25">
      <c r="A1" s="191" t="s">
        <v>189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2" ht="15.75" x14ac:dyDescent="0.25">
      <c r="A2" s="195" t="s">
        <v>193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</row>
    <row r="3" spans="1:32" ht="33" customHeight="1" x14ac:dyDescent="0.25">
      <c r="A3" s="192" t="s">
        <v>36</v>
      </c>
      <c r="B3" s="192" t="s">
        <v>0</v>
      </c>
      <c r="C3" s="194" t="s">
        <v>1</v>
      </c>
      <c r="D3" s="194"/>
      <c r="E3" s="194"/>
      <c r="F3" s="194"/>
      <c r="G3" s="194"/>
      <c r="H3" s="194"/>
      <c r="I3" s="194" t="s">
        <v>2</v>
      </c>
      <c r="J3" s="194"/>
      <c r="K3" s="194"/>
      <c r="L3" s="194"/>
      <c r="M3" s="194"/>
      <c r="N3" s="194"/>
      <c r="O3" s="194" t="s">
        <v>74</v>
      </c>
      <c r="P3" s="194"/>
      <c r="Q3" s="194"/>
      <c r="R3" s="194"/>
      <c r="S3" s="194"/>
      <c r="T3" s="194"/>
      <c r="U3" s="194" t="s">
        <v>75</v>
      </c>
      <c r="V3" s="194"/>
      <c r="W3" s="194"/>
      <c r="X3" s="194"/>
      <c r="Y3" s="194"/>
      <c r="Z3" s="194"/>
      <c r="AA3" s="194" t="s">
        <v>76</v>
      </c>
      <c r="AB3" s="194"/>
      <c r="AC3" s="194"/>
      <c r="AD3" s="194"/>
      <c r="AE3" s="194"/>
      <c r="AF3" s="194"/>
    </row>
    <row r="4" spans="1:32" s="34" customFormat="1" ht="31.5" x14ac:dyDescent="0.25">
      <c r="A4" s="193"/>
      <c r="B4" s="193"/>
      <c r="C4" s="15" t="s">
        <v>3</v>
      </c>
      <c r="D4" s="15" t="s">
        <v>4</v>
      </c>
      <c r="E4" s="15" t="s">
        <v>111</v>
      </c>
      <c r="F4" s="15" t="s">
        <v>5</v>
      </c>
      <c r="G4" s="15" t="s">
        <v>6</v>
      </c>
      <c r="H4" s="15" t="s">
        <v>7</v>
      </c>
      <c r="I4" s="15" t="s">
        <v>3</v>
      </c>
      <c r="J4" s="15" t="s">
        <v>4</v>
      </c>
      <c r="K4" s="15" t="s">
        <v>111</v>
      </c>
      <c r="L4" s="15" t="s">
        <v>5</v>
      </c>
      <c r="M4" s="15" t="s">
        <v>6</v>
      </c>
      <c r="N4" s="15" t="s">
        <v>7</v>
      </c>
      <c r="O4" s="15" t="s">
        <v>3</v>
      </c>
      <c r="P4" s="15" t="s">
        <v>4</v>
      </c>
      <c r="Q4" s="15" t="s">
        <v>111</v>
      </c>
      <c r="R4" s="15" t="s">
        <v>5</v>
      </c>
      <c r="S4" s="15" t="s">
        <v>6</v>
      </c>
      <c r="T4" s="15" t="s">
        <v>7</v>
      </c>
      <c r="U4" s="15" t="s">
        <v>3</v>
      </c>
      <c r="V4" s="15" t="s">
        <v>4</v>
      </c>
      <c r="W4" s="15" t="s">
        <v>111</v>
      </c>
      <c r="X4" s="15" t="s">
        <v>5</v>
      </c>
      <c r="Y4" s="15" t="s">
        <v>6</v>
      </c>
      <c r="Z4" s="15" t="s">
        <v>7</v>
      </c>
      <c r="AA4" s="15" t="s">
        <v>3</v>
      </c>
      <c r="AB4" s="15" t="s">
        <v>4</v>
      </c>
      <c r="AC4" s="15" t="s">
        <v>111</v>
      </c>
      <c r="AD4" s="15" t="s">
        <v>5</v>
      </c>
      <c r="AE4" s="15" t="s">
        <v>6</v>
      </c>
      <c r="AF4" s="15" t="s">
        <v>7</v>
      </c>
    </row>
    <row r="5" spans="1:32" s="29" customFormat="1" ht="15.75" x14ac:dyDescent="0.25">
      <c r="A5" s="179" t="s">
        <v>133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1"/>
    </row>
    <row r="6" spans="1:32" ht="63" x14ac:dyDescent="0.25">
      <c r="A6" s="11">
        <v>1</v>
      </c>
      <c r="B6" s="12" t="s">
        <v>92</v>
      </c>
      <c r="C6" s="13">
        <v>10768.73</v>
      </c>
      <c r="D6" s="13">
        <v>10768.73</v>
      </c>
      <c r="E6" s="13">
        <v>0</v>
      </c>
      <c r="F6" s="13">
        <v>0</v>
      </c>
      <c r="G6" s="13">
        <v>0</v>
      </c>
      <c r="H6" s="13">
        <v>0</v>
      </c>
      <c r="I6" s="13">
        <v>14076.63</v>
      </c>
      <c r="J6" s="13">
        <v>14076.63</v>
      </c>
      <c r="K6" s="13">
        <v>0</v>
      </c>
      <c r="L6" s="13">
        <v>0</v>
      </c>
      <c r="M6" s="13">
        <v>0</v>
      </c>
      <c r="N6" s="13">
        <v>0</v>
      </c>
      <c r="O6" s="14">
        <v>14076.63</v>
      </c>
      <c r="P6" s="14">
        <v>14076.63</v>
      </c>
      <c r="Q6" s="14">
        <v>0</v>
      </c>
      <c r="R6" s="14">
        <v>0</v>
      </c>
      <c r="S6" s="14">
        <v>0</v>
      </c>
      <c r="T6" s="14">
        <v>0</v>
      </c>
      <c r="U6" s="14">
        <v>14076.63</v>
      </c>
      <c r="V6" s="14">
        <v>14076.63</v>
      </c>
      <c r="W6" s="14">
        <v>0</v>
      </c>
      <c r="X6" s="14">
        <v>0</v>
      </c>
      <c r="Y6" s="14">
        <v>0</v>
      </c>
      <c r="Z6" s="14" t="s">
        <v>77</v>
      </c>
      <c r="AA6" s="14">
        <v>15728.99</v>
      </c>
      <c r="AB6" s="14">
        <v>15728.99</v>
      </c>
      <c r="AC6" s="14">
        <v>0</v>
      </c>
      <c r="AD6" s="14">
        <v>0</v>
      </c>
      <c r="AE6" s="14">
        <v>0</v>
      </c>
      <c r="AF6" s="14">
        <v>0</v>
      </c>
    </row>
    <row r="7" spans="1:32" s="30" customFormat="1" ht="47.25" x14ac:dyDescent="0.25">
      <c r="A7" s="16">
        <v>2</v>
      </c>
      <c r="B7" s="17" t="s">
        <v>35</v>
      </c>
      <c r="C7" s="18">
        <v>304.64999999999998</v>
      </c>
      <c r="D7" s="18">
        <v>166.94</v>
      </c>
      <c r="E7" s="18">
        <v>0</v>
      </c>
      <c r="F7" s="18">
        <v>0</v>
      </c>
      <c r="G7" s="18">
        <v>0</v>
      </c>
      <c r="H7" s="18">
        <f>C7-D7</f>
        <v>137.70999999999998</v>
      </c>
      <c r="I7" s="18">
        <v>304.64999999999998</v>
      </c>
      <c r="J7" s="18">
        <v>166.94</v>
      </c>
      <c r="K7" s="18">
        <v>0</v>
      </c>
      <c r="L7" s="18">
        <v>0</v>
      </c>
      <c r="M7" s="18">
        <v>0</v>
      </c>
      <c r="N7" s="18">
        <v>137.71</v>
      </c>
      <c r="O7" s="19">
        <v>304.64999999999998</v>
      </c>
      <c r="P7" s="19">
        <v>166.94</v>
      </c>
      <c r="Q7" s="19">
        <v>0</v>
      </c>
      <c r="R7" s="19">
        <v>0</v>
      </c>
      <c r="S7" s="19">
        <v>0</v>
      </c>
      <c r="T7" s="19">
        <v>137.71</v>
      </c>
      <c r="U7" s="19">
        <v>304.64999999999998</v>
      </c>
      <c r="V7" s="19">
        <v>166.94</v>
      </c>
      <c r="W7" s="19">
        <v>0</v>
      </c>
      <c r="X7" s="19">
        <v>0</v>
      </c>
      <c r="Y7" s="19">
        <v>0</v>
      </c>
      <c r="Z7" s="19">
        <v>137.71</v>
      </c>
      <c r="AA7" s="19">
        <v>304.64999999999998</v>
      </c>
      <c r="AB7" s="19">
        <v>166.94</v>
      </c>
      <c r="AC7" s="19">
        <v>0</v>
      </c>
      <c r="AD7" s="19">
        <v>0</v>
      </c>
      <c r="AE7" s="19">
        <v>0</v>
      </c>
      <c r="AF7" s="19">
        <v>137.71</v>
      </c>
    </row>
    <row r="8" spans="1:32" ht="78.75" x14ac:dyDescent="0.25">
      <c r="A8" s="11">
        <v>3</v>
      </c>
      <c r="B8" s="12" t="s">
        <v>8</v>
      </c>
      <c r="C8" s="13">
        <v>160</v>
      </c>
      <c r="D8" s="13">
        <v>160</v>
      </c>
      <c r="E8" s="13">
        <v>0</v>
      </c>
      <c r="F8" s="13">
        <v>0</v>
      </c>
      <c r="G8" s="13">
        <v>0</v>
      </c>
      <c r="H8" s="13">
        <v>0</v>
      </c>
      <c r="I8" s="13">
        <v>160</v>
      </c>
      <c r="J8" s="13">
        <v>139.84</v>
      </c>
      <c r="K8" s="13">
        <v>0</v>
      </c>
      <c r="L8" s="13">
        <v>0</v>
      </c>
      <c r="M8" s="13">
        <v>0</v>
      </c>
      <c r="N8" s="13">
        <v>20.16</v>
      </c>
      <c r="O8" s="14">
        <v>160</v>
      </c>
      <c r="P8" s="14">
        <v>107.84</v>
      </c>
      <c r="Q8" s="14">
        <v>0</v>
      </c>
      <c r="R8" s="14">
        <v>0</v>
      </c>
      <c r="S8" s="14">
        <v>0</v>
      </c>
      <c r="T8" s="14">
        <v>52.16</v>
      </c>
      <c r="U8" s="14">
        <v>160</v>
      </c>
      <c r="V8" s="14">
        <v>107.84</v>
      </c>
      <c r="W8" s="14">
        <v>0</v>
      </c>
      <c r="X8" s="14">
        <v>0</v>
      </c>
      <c r="Y8" s="14">
        <v>0</v>
      </c>
      <c r="Z8" s="14">
        <v>52.16</v>
      </c>
      <c r="AA8" s="14">
        <v>160</v>
      </c>
      <c r="AB8" s="14">
        <v>99.84</v>
      </c>
      <c r="AC8" s="14">
        <v>0</v>
      </c>
      <c r="AD8" s="14">
        <v>0</v>
      </c>
      <c r="AE8" s="14">
        <v>0</v>
      </c>
      <c r="AF8" s="14">
        <v>60.16</v>
      </c>
    </row>
    <row r="9" spans="1:32" s="30" customFormat="1" ht="47.25" x14ac:dyDescent="0.25">
      <c r="A9" s="16">
        <v>4</v>
      </c>
      <c r="B9" s="17" t="s">
        <v>117</v>
      </c>
      <c r="C9" s="18">
        <v>9380.4599999999991</v>
      </c>
      <c r="D9" s="18">
        <v>9380.4599999999991</v>
      </c>
      <c r="E9" s="18">
        <v>0</v>
      </c>
      <c r="F9" s="18">
        <v>0</v>
      </c>
      <c r="G9" s="18">
        <v>0</v>
      </c>
      <c r="H9" s="18">
        <v>0</v>
      </c>
      <c r="I9" s="18">
        <v>11880.46</v>
      </c>
      <c r="J9" s="18">
        <v>11880.46</v>
      </c>
      <c r="K9" s="18">
        <v>0</v>
      </c>
      <c r="L9" s="18">
        <v>0</v>
      </c>
      <c r="M9" s="18">
        <v>0</v>
      </c>
      <c r="N9" s="18">
        <v>0</v>
      </c>
      <c r="O9" s="20">
        <v>13068.51</v>
      </c>
      <c r="P9" s="19">
        <v>11286.44</v>
      </c>
      <c r="Q9" s="19">
        <v>0</v>
      </c>
      <c r="R9" s="19">
        <v>0</v>
      </c>
      <c r="S9" s="19">
        <v>0</v>
      </c>
      <c r="T9" s="19">
        <v>1782.07</v>
      </c>
      <c r="U9" s="19">
        <v>13068.51</v>
      </c>
      <c r="V9" s="19">
        <v>11286.44</v>
      </c>
      <c r="W9" s="19">
        <v>0</v>
      </c>
      <c r="X9" s="19">
        <v>0</v>
      </c>
      <c r="Y9" s="19">
        <v>0</v>
      </c>
      <c r="Z9" s="19">
        <v>1782.07</v>
      </c>
      <c r="AA9" s="19">
        <v>13068.51</v>
      </c>
      <c r="AB9" s="19">
        <v>11286.44</v>
      </c>
      <c r="AC9" s="19">
        <v>0</v>
      </c>
      <c r="AD9" s="19">
        <v>0</v>
      </c>
      <c r="AE9" s="19">
        <v>0</v>
      </c>
      <c r="AF9" s="19">
        <v>1782.07</v>
      </c>
    </row>
    <row r="10" spans="1:32" ht="31.5" x14ac:dyDescent="0.25">
      <c r="A10" s="11">
        <v>5</v>
      </c>
      <c r="B10" s="12" t="s">
        <v>118</v>
      </c>
      <c r="C10" s="13">
        <v>94.05</v>
      </c>
      <c r="D10" s="13">
        <v>83.88</v>
      </c>
      <c r="E10" s="13">
        <v>0</v>
      </c>
      <c r="F10" s="13">
        <v>0</v>
      </c>
      <c r="G10" s="13">
        <v>0</v>
      </c>
      <c r="H10" s="13">
        <v>10.17</v>
      </c>
      <c r="I10" s="13">
        <v>94.05</v>
      </c>
      <c r="J10" s="13">
        <v>83.88</v>
      </c>
      <c r="K10" s="13">
        <v>0</v>
      </c>
      <c r="L10" s="13">
        <v>0</v>
      </c>
      <c r="M10" s="13">
        <v>0</v>
      </c>
      <c r="N10" s="13">
        <v>10.17</v>
      </c>
      <c r="O10" s="14">
        <v>94.05</v>
      </c>
      <c r="P10" s="14">
        <v>68.83</v>
      </c>
      <c r="Q10" s="14">
        <v>0</v>
      </c>
      <c r="R10" s="14">
        <v>0</v>
      </c>
      <c r="S10" s="14">
        <v>0</v>
      </c>
      <c r="T10" s="14">
        <v>25.22</v>
      </c>
      <c r="U10" s="14">
        <v>188.1</v>
      </c>
      <c r="V10" s="14">
        <v>137.66</v>
      </c>
      <c r="W10" s="14">
        <v>0</v>
      </c>
      <c r="X10" s="14">
        <v>0</v>
      </c>
      <c r="Y10" s="14">
        <v>0</v>
      </c>
      <c r="Z10" s="14">
        <v>50.44</v>
      </c>
      <c r="AA10" s="14">
        <v>188.1</v>
      </c>
      <c r="AB10" s="14">
        <v>137.66</v>
      </c>
      <c r="AC10" s="14">
        <v>0</v>
      </c>
      <c r="AD10" s="14">
        <v>0</v>
      </c>
      <c r="AE10" s="14">
        <v>0</v>
      </c>
      <c r="AF10" s="14">
        <v>50.44</v>
      </c>
    </row>
    <row r="11" spans="1:32" s="30" customFormat="1" ht="31.5" x14ac:dyDescent="0.25">
      <c r="A11" s="16">
        <v>6</v>
      </c>
      <c r="B11" s="17" t="s">
        <v>11</v>
      </c>
      <c r="C11" s="18">
        <v>2085.02</v>
      </c>
      <c r="D11" s="18">
        <v>2085.02</v>
      </c>
      <c r="E11" s="18">
        <v>0</v>
      </c>
      <c r="F11" s="18">
        <v>0</v>
      </c>
      <c r="G11" s="18">
        <v>0</v>
      </c>
      <c r="H11" s="18">
        <v>0</v>
      </c>
      <c r="I11" s="18">
        <v>2085.02</v>
      </c>
      <c r="J11" s="18">
        <v>1831.56</v>
      </c>
      <c r="K11" s="18">
        <v>0</v>
      </c>
      <c r="L11" s="18">
        <v>0</v>
      </c>
      <c r="M11" s="18">
        <v>0</v>
      </c>
      <c r="N11" s="18">
        <v>253.46</v>
      </c>
      <c r="O11" s="19">
        <v>2085.02</v>
      </c>
      <c r="P11" s="19">
        <v>1630.6</v>
      </c>
      <c r="Q11" s="19">
        <v>0</v>
      </c>
      <c r="R11" s="19">
        <v>0</v>
      </c>
      <c r="S11" s="19">
        <v>0</v>
      </c>
      <c r="T11" s="19">
        <v>454.42</v>
      </c>
      <c r="U11" s="19">
        <v>2085.02</v>
      </c>
      <c r="V11" s="19">
        <v>1630.5</v>
      </c>
      <c r="W11" s="19">
        <v>0</v>
      </c>
      <c r="X11" s="19">
        <v>0</v>
      </c>
      <c r="Y11" s="19">
        <v>0</v>
      </c>
      <c r="Z11" s="19">
        <v>454.52</v>
      </c>
      <c r="AA11" s="19">
        <v>2085.02</v>
      </c>
      <c r="AB11" s="19">
        <v>1630.5</v>
      </c>
      <c r="AC11" s="19">
        <v>0</v>
      </c>
      <c r="AD11" s="19">
        <v>0</v>
      </c>
      <c r="AE11" s="19">
        <v>0</v>
      </c>
      <c r="AF11" s="19">
        <v>454.52</v>
      </c>
    </row>
    <row r="12" spans="1:32" ht="31.5" x14ac:dyDescent="0.25">
      <c r="A12" s="11">
        <v>7</v>
      </c>
      <c r="B12" s="12" t="s">
        <v>12</v>
      </c>
      <c r="C12" s="13">
        <v>320.94</v>
      </c>
      <c r="D12" s="13">
        <v>320.94</v>
      </c>
      <c r="E12" s="13">
        <v>0</v>
      </c>
      <c r="F12" s="13">
        <v>0</v>
      </c>
      <c r="G12" s="13">
        <v>0</v>
      </c>
      <c r="H12" s="13">
        <v>0</v>
      </c>
      <c r="I12" s="13">
        <v>320.94</v>
      </c>
      <c r="J12" s="13">
        <v>320.94</v>
      </c>
      <c r="K12" s="13">
        <v>0</v>
      </c>
      <c r="L12" s="13">
        <v>0</v>
      </c>
      <c r="M12" s="13">
        <v>0</v>
      </c>
      <c r="N12" s="13">
        <v>0</v>
      </c>
      <c r="O12" s="14">
        <v>320.94</v>
      </c>
      <c r="P12" s="14">
        <v>233.78</v>
      </c>
      <c r="Q12" s="31">
        <v>0</v>
      </c>
      <c r="R12" s="14">
        <v>0</v>
      </c>
      <c r="S12" s="14">
        <v>0</v>
      </c>
      <c r="T12" s="14">
        <v>87.16</v>
      </c>
      <c r="U12" s="14">
        <v>320.94</v>
      </c>
      <c r="V12" s="14">
        <v>233.78</v>
      </c>
      <c r="W12" s="14">
        <v>0</v>
      </c>
      <c r="X12" s="14">
        <v>0</v>
      </c>
      <c r="Y12" s="14">
        <v>0</v>
      </c>
      <c r="Z12" s="14">
        <v>87.16</v>
      </c>
      <c r="AA12" s="14">
        <v>320.94</v>
      </c>
      <c r="AB12" s="14">
        <v>233.78</v>
      </c>
      <c r="AC12" s="14">
        <v>0</v>
      </c>
      <c r="AD12" s="14">
        <v>0</v>
      </c>
      <c r="AE12" s="14">
        <v>0</v>
      </c>
      <c r="AF12" s="14">
        <v>87.16</v>
      </c>
    </row>
    <row r="13" spans="1:32" s="30" customFormat="1" ht="15.75" x14ac:dyDescent="0.25">
      <c r="A13" s="16">
        <v>8</v>
      </c>
      <c r="B13" s="17" t="s">
        <v>13</v>
      </c>
      <c r="C13" s="18">
        <v>200</v>
      </c>
      <c r="D13" s="18">
        <v>174.8</v>
      </c>
      <c r="E13" s="18">
        <v>0</v>
      </c>
      <c r="F13" s="18">
        <v>0</v>
      </c>
      <c r="G13" s="18">
        <v>0</v>
      </c>
      <c r="H13" s="18">
        <v>25.2</v>
      </c>
      <c r="I13" s="18">
        <v>250</v>
      </c>
      <c r="J13" s="18">
        <v>180.04</v>
      </c>
      <c r="K13" s="18">
        <v>0</v>
      </c>
      <c r="L13" s="18">
        <v>0</v>
      </c>
      <c r="M13" s="18">
        <v>0</v>
      </c>
      <c r="N13" s="18">
        <v>69.959999999999994</v>
      </c>
      <c r="O13" s="19">
        <v>240.3</v>
      </c>
      <c r="P13" s="19">
        <v>173.5</v>
      </c>
      <c r="Q13" s="19">
        <v>0</v>
      </c>
      <c r="R13" s="19">
        <v>0</v>
      </c>
      <c r="S13" s="19">
        <v>0</v>
      </c>
      <c r="T13" s="19">
        <v>66.8</v>
      </c>
      <c r="U13" s="19">
        <v>240.3</v>
      </c>
      <c r="V13" s="19">
        <v>173.5</v>
      </c>
      <c r="W13" s="19">
        <v>0</v>
      </c>
      <c r="X13" s="19">
        <v>0</v>
      </c>
      <c r="Y13" s="19">
        <v>0</v>
      </c>
      <c r="Z13" s="19">
        <v>66.8</v>
      </c>
      <c r="AA13" s="19">
        <v>240.3</v>
      </c>
      <c r="AB13" s="19">
        <v>173.5</v>
      </c>
      <c r="AC13" s="19">
        <v>0</v>
      </c>
      <c r="AD13" s="19">
        <v>0</v>
      </c>
      <c r="AE13" s="19">
        <v>0</v>
      </c>
      <c r="AF13" s="19">
        <v>66.8</v>
      </c>
    </row>
    <row r="14" spans="1:32" ht="31.5" x14ac:dyDescent="0.25">
      <c r="A14" s="11">
        <v>9</v>
      </c>
      <c r="B14" s="12" t="s">
        <v>119</v>
      </c>
      <c r="C14" s="13">
        <v>83.42</v>
      </c>
      <c r="D14" s="13">
        <v>83.42</v>
      </c>
      <c r="E14" s="13">
        <v>0</v>
      </c>
      <c r="F14" s="13">
        <v>0</v>
      </c>
      <c r="G14" s="13">
        <v>0</v>
      </c>
      <c r="H14" s="13">
        <v>0</v>
      </c>
      <c r="I14" s="13">
        <v>83.42</v>
      </c>
      <c r="J14" s="13">
        <v>83.42</v>
      </c>
      <c r="K14" s="13">
        <v>0</v>
      </c>
      <c r="L14" s="13">
        <v>0</v>
      </c>
      <c r="M14" s="13">
        <v>0</v>
      </c>
      <c r="N14" s="13">
        <v>0</v>
      </c>
      <c r="O14" s="14">
        <v>83.42</v>
      </c>
      <c r="P14" s="14">
        <v>83.42</v>
      </c>
      <c r="Q14" s="14">
        <v>0</v>
      </c>
      <c r="R14" s="14">
        <v>0</v>
      </c>
      <c r="S14" s="14">
        <v>0</v>
      </c>
      <c r="T14" s="14">
        <v>0</v>
      </c>
      <c r="U14" s="14">
        <v>83.42</v>
      </c>
      <c r="V14" s="14">
        <v>83.42</v>
      </c>
      <c r="W14" s="14">
        <v>0</v>
      </c>
      <c r="X14" s="14">
        <v>0</v>
      </c>
      <c r="Y14" s="14">
        <v>0</v>
      </c>
      <c r="Z14" s="14">
        <v>0</v>
      </c>
      <c r="AA14" s="14">
        <v>83.42</v>
      </c>
      <c r="AB14" s="14">
        <v>83.42</v>
      </c>
      <c r="AC14" s="14">
        <v>0</v>
      </c>
      <c r="AD14" s="14">
        <v>0</v>
      </c>
      <c r="AE14" s="14">
        <v>0</v>
      </c>
      <c r="AF14" s="14">
        <v>0</v>
      </c>
    </row>
    <row r="15" spans="1:32" s="30" customFormat="1" ht="31.5" x14ac:dyDescent="0.25">
      <c r="A15" s="16">
        <v>10</v>
      </c>
      <c r="B15" s="17" t="s">
        <v>14</v>
      </c>
      <c r="C15" s="18">
        <v>184.63</v>
      </c>
      <c r="D15" s="18">
        <v>184.63</v>
      </c>
      <c r="E15" s="18">
        <v>0</v>
      </c>
      <c r="F15" s="18">
        <v>0</v>
      </c>
      <c r="G15" s="18">
        <v>0</v>
      </c>
      <c r="H15" s="18">
        <v>0</v>
      </c>
      <c r="I15" s="18">
        <v>184.63</v>
      </c>
      <c r="J15" s="18">
        <v>184.63</v>
      </c>
      <c r="K15" s="18">
        <v>0</v>
      </c>
      <c r="L15" s="18">
        <v>0</v>
      </c>
      <c r="M15" s="18">
        <v>0</v>
      </c>
      <c r="N15" s="18">
        <v>0</v>
      </c>
      <c r="O15" s="19">
        <v>184.63</v>
      </c>
      <c r="P15" s="19">
        <v>184.63</v>
      </c>
      <c r="Q15" s="19">
        <v>0</v>
      </c>
      <c r="R15" s="19">
        <v>0</v>
      </c>
      <c r="S15" s="19">
        <v>0</v>
      </c>
      <c r="T15" s="19">
        <v>0</v>
      </c>
      <c r="U15" s="196" t="s">
        <v>79</v>
      </c>
      <c r="V15" s="196"/>
      <c r="W15" s="196"/>
      <c r="X15" s="196"/>
      <c r="Y15" s="196"/>
      <c r="Z15" s="196"/>
      <c r="AA15" s="196" t="s">
        <v>79</v>
      </c>
      <c r="AB15" s="196"/>
      <c r="AC15" s="196"/>
      <c r="AD15" s="196"/>
      <c r="AE15" s="196"/>
      <c r="AF15" s="196"/>
    </row>
    <row r="16" spans="1:32" ht="31.5" x14ac:dyDescent="0.25">
      <c r="A16" s="11">
        <v>11</v>
      </c>
      <c r="B16" s="12" t="s">
        <v>15</v>
      </c>
      <c r="C16" s="13">
        <v>1400</v>
      </c>
      <c r="D16" s="13">
        <v>1400</v>
      </c>
      <c r="E16" s="13">
        <v>0</v>
      </c>
      <c r="F16" s="13">
        <v>0</v>
      </c>
      <c r="G16" s="13">
        <v>0</v>
      </c>
      <c r="H16" s="13">
        <v>0</v>
      </c>
      <c r="I16" s="13">
        <v>1400</v>
      </c>
      <c r="J16" s="13">
        <v>1400</v>
      </c>
      <c r="K16" s="13">
        <v>0</v>
      </c>
      <c r="L16" s="13">
        <v>0</v>
      </c>
      <c r="M16" s="13">
        <v>0</v>
      </c>
      <c r="N16" s="13">
        <v>0</v>
      </c>
      <c r="O16" s="14">
        <v>1406</v>
      </c>
      <c r="P16" s="14">
        <v>1403</v>
      </c>
      <c r="Q16" s="14">
        <v>0</v>
      </c>
      <c r="R16" s="14">
        <v>0</v>
      </c>
      <c r="S16" s="14">
        <v>0</v>
      </c>
      <c r="T16" s="14">
        <v>3</v>
      </c>
      <c r="U16" s="14">
        <v>3758.62</v>
      </c>
      <c r="V16" s="14">
        <v>3758.62</v>
      </c>
      <c r="W16" s="14">
        <v>0</v>
      </c>
      <c r="X16" s="14">
        <v>0</v>
      </c>
      <c r="Y16" s="14">
        <v>0</v>
      </c>
      <c r="Z16" s="14">
        <v>0</v>
      </c>
      <c r="AA16" s="14">
        <v>3758.62</v>
      </c>
      <c r="AB16" s="14">
        <v>3758.62</v>
      </c>
      <c r="AC16" s="14">
        <v>0</v>
      </c>
      <c r="AD16" s="14">
        <v>0</v>
      </c>
      <c r="AE16" s="14">
        <v>0</v>
      </c>
      <c r="AF16" s="14">
        <v>0</v>
      </c>
    </row>
    <row r="17" spans="1:32" s="30" customFormat="1" ht="31.5" x14ac:dyDescent="0.25">
      <c r="A17" s="16">
        <v>12</v>
      </c>
      <c r="B17" s="17" t="s">
        <v>40</v>
      </c>
      <c r="C17" s="18">
        <v>75.849999999999994</v>
      </c>
      <c r="D17" s="18">
        <v>75.849999999999994</v>
      </c>
      <c r="E17" s="18">
        <v>0</v>
      </c>
      <c r="F17" s="18">
        <v>0</v>
      </c>
      <c r="G17" s="18">
        <v>0</v>
      </c>
      <c r="H17" s="18">
        <v>0</v>
      </c>
      <c r="I17" s="18">
        <v>75.849999999999994</v>
      </c>
      <c r="J17" s="18">
        <v>75.849999999999994</v>
      </c>
      <c r="K17" s="18">
        <v>0</v>
      </c>
      <c r="L17" s="18">
        <v>0</v>
      </c>
      <c r="M17" s="18">
        <v>0</v>
      </c>
      <c r="N17" s="18">
        <v>0</v>
      </c>
      <c r="O17" s="19">
        <v>75.849999999999994</v>
      </c>
      <c r="P17" s="19">
        <v>75.849999999999994</v>
      </c>
      <c r="Q17" s="19">
        <v>0</v>
      </c>
      <c r="R17" s="19">
        <v>0</v>
      </c>
      <c r="S17" s="19">
        <v>0</v>
      </c>
      <c r="T17" s="19">
        <v>0</v>
      </c>
      <c r="U17" s="196" t="s">
        <v>79</v>
      </c>
      <c r="V17" s="196"/>
      <c r="W17" s="196"/>
      <c r="X17" s="196"/>
      <c r="Y17" s="196"/>
      <c r="Z17" s="196"/>
      <c r="AA17" s="196" t="s">
        <v>79</v>
      </c>
      <c r="AB17" s="196"/>
      <c r="AC17" s="196"/>
      <c r="AD17" s="196"/>
      <c r="AE17" s="196"/>
      <c r="AF17" s="196"/>
    </row>
    <row r="18" spans="1:32" ht="47.25" x14ac:dyDescent="0.25">
      <c r="A18" s="11">
        <v>13</v>
      </c>
      <c r="B18" s="12" t="s">
        <v>16</v>
      </c>
      <c r="C18" s="13">
        <v>5339.05</v>
      </c>
      <c r="D18" s="13">
        <v>4748.87</v>
      </c>
      <c r="E18" s="13">
        <v>0</v>
      </c>
      <c r="F18" s="13">
        <f>1259.54-669.36</f>
        <v>590.17999999999995</v>
      </c>
      <c r="G18" s="13">
        <v>0</v>
      </c>
      <c r="H18" s="13">
        <v>0</v>
      </c>
      <c r="I18" s="32">
        <f>1283.06+4079.51</f>
        <v>5362.57</v>
      </c>
      <c r="J18" s="33">
        <f>669.35+4079.51</f>
        <v>4748.8600000000006</v>
      </c>
      <c r="K18" s="32">
        <v>0</v>
      </c>
      <c r="L18" s="32">
        <f>I18-J18</f>
        <v>613.70999999999913</v>
      </c>
      <c r="M18" s="32">
        <v>0</v>
      </c>
      <c r="N18" s="32">
        <v>0</v>
      </c>
      <c r="O18" s="14">
        <v>5560.7</v>
      </c>
      <c r="P18" s="11">
        <v>4855.5</v>
      </c>
      <c r="Q18" s="14">
        <v>0</v>
      </c>
      <c r="R18" s="14">
        <v>705.2</v>
      </c>
      <c r="S18" s="14">
        <v>0</v>
      </c>
      <c r="T18" s="14">
        <v>0</v>
      </c>
      <c r="U18" s="14">
        <v>5703.04</v>
      </c>
      <c r="V18" s="14">
        <v>4936.88</v>
      </c>
      <c r="W18" s="14">
        <v>0</v>
      </c>
      <c r="X18" s="14">
        <v>766.16</v>
      </c>
      <c r="Y18" s="14">
        <v>0</v>
      </c>
      <c r="Z18" s="14">
        <v>0</v>
      </c>
      <c r="AA18" s="14">
        <v>5865.12</v>
      </c>
      <c r="AB18" s="14">
        <v>4998.74</v>
      </c>
      <c r="AC18" s="14">
        <v>0</v>
      </c>
      <c r="AD18" s="14">
        <v>866.38</v>
      </c>
      <c r="AE18" s="14">
        <v>0</v>
      </c>
      <c r="AF18" s="14">
        <v>0</v>
      </c>
    </row>
    <row r="19" spans="1:32" s="30" customFormat="1" ht="47.25" x14ac:dyDescent="0.25">
      <c r="A19" s="16">
        <v>14</v>
      </c>
      <c r="B19" s="17" t="s">
        <v>120</v>
      </c>
      <c r="C19" s="18">
        <v>25</v>
      </c>
      <c r="D19" s="18">
        <v>12.75</v>
      </c>
      <c r="E19" s="18">
        <v>0</v>
      </c>
      <c r="F19" s="18">
        <v>12.25</v>
      </c>
      <c r="G19" s="18">
        <v>0</v>
      </c>
      <c r="H19" s="18">
        <v>0</v>
      </c>
      <c r="I19" s="18">
        <v>25</v>
      </c>
      <c r="J19" s="18">
        <v>12.75</v>
      </c>
      <c r="K19" s="18">
        <v>0</v>
      </c>
      <c r="L19" s="18">
        <v>12.25</v>
      </c>
      <c r="M19" s="18">
        <v>0</v>
      </c>
      <c r="N19" s="18">
        <v>0</v>
      </c>
      <c r="O19" s="19">
        <v>25</v>
      </c>
      <c r="P19" s="19">
        <v>12.75</v>
      </c>
      <c r="Q19" s="19">
        <v>0</v>
      </c>
      <c r="R19" s="19">
        <v>12.25</v>
      </c>
      <c r="S19" s="19">
        <v>0</v>
      </c>
      <c r="T19" s="19">
        <v>0</v>
      </c>
      <c r="U19" s="19">
        <v>25</v>
      </c>
      <c r="V19" s="19">
        <v>12.75</v>
      </c>
      <c r="W19" s="19">
        <v>0</v>
      </c>
      <c r="X19" s="19">
        <v>12.25</v>
      </c>
      <c r="Y19" s="19">
        <v>0</v>
      </c>
      <c r="Z19" s="19">
        <v>0</v>
      </c>
      <c r="AA19" s="19">
        <v>25</v>
      </c>
      <c r="AB19" s="19">
        <v>12.75</v>
      </c>
      <c r="AC19" s="19">
        <v>0</v>
      </c>
      <c r="AD19" s="19">
        <v>12.25</v>
      </c>
      <c r="AE19" s="19">
        <v>0</v>
      </c>
      <c r="AF19" s="19">
        <v>0</v>
      </c>
    </row>
    <row r="20" spans="1:32" ht="15.75" x14ac:dyDescent="0.25">
      <c r="A20" s="11">
        <v>15</v>
      </c>
      <c r="B20" s="12" t="s">
        <v>43</v>
      </c>
      <c r="C20" s="184" t="s">
        <v>149</v>
      </c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5"/>
    </row>
    <row r="21" spans="1:32" s="30" customFormat="1" ht="15.75" x14ac:dyDescent="0.25">
      <c r="A21" s="16">
        <v>16</v>
      </c>
      <c r="B21" s="17" t="s">
        <v>17</v>
      </c>
      <c r="C21" s="18">
        <v>1</v>
      </c>
      <c r="D21" s="18">
        <v>1</v>
      </c>
      <c r="E21" s="18">
        <v>0</v>
      </c>
      <c r="F21" s="18">
        <v>0</v>
      </c>
      <c r="G21" s="18">
        <v>0</v>
      </c>
      <c r="H21" s="18">
        <v>0</v>
      </c>
      <c r="I21" s="18">
        <v>1</v>
      </c>
      <c r="J21" s="18">
        <v>1</v>
      </c>
      <c r="K21" s="18">
        <v>0</v>
      </c>
      <c r="L21" s="18">
        <v>0</v>
      </c>
      <c r="M21" s="18">
        <v>0</v>
      </c>
      <c r="N21" s="18">
        <v>0</v>
      </c>
      <c r="O21" s="19">
        <v>1</v>
      </c>
      <c r="P21" s="19">
        <v>1</v>
      </c>
      <c r="Q21" s="19">
        <v>0</v>
      </c>
      <c r="R21" s="19">
        <v>0</v>
      </c>
      <c r="S21" s="19">
        <v>0</v>
      </c>
      <c r="T21" s="19">
        <v>0</v>
      </c>
      <c r="U21" s="19">
        <v>1</v>
      </c>
      <c r="V21" s="19">
        <v>1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1</v>
      </c>
      <c r="AC21" s="19">
        <v>0</v>
      </c>
      <c r="AD21" s="19">
        <v>0</v>
      </c>
      <c r="AE21" s="19">
        <v>0</v>
      </c>
      <c r="AF21" s="19">
        <v>0</v>
      </c>
    </row>
    <row r="22" spans="1:32" ht="31.5" x14ac:dyDescent="0.25">
      <c r="A22" s="11">
        <v>17</v>
      </c>
      <c r="B22" s="12" t="s">
        <v>93</v>
      </c>
      <c r="C22" s="184" t="s">
        <v>148</v>
      </c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5"/>
    </row>
    <row r="23" spans="1:32" s="30" customFormat="1" ht="15.75" x14ac:dyDescent="0.25">
      <c r="A23" s="182" t="s">
        <v>18</v>
      </c>
      <c r="B23" s="183"/>
      <c r="C23" s="21">
        <f>SUM(C6:C21)</f>
        <v>30422.799999999992</v>
      </c>
      <c r="D23" s="21">
        <f t="shared" ref="D23:AF23" si="0">SUM(D6:D21)</f>
        <v>29647.289999999994</v>
      </c>
      <c r="E23" s="21">
        <f t="shared" si="0"/>
        <v>0</v>
      </c>
      <c r="F23" s="21">
        <f t="shared" si="0"/>
        <v>602.42999999999995</v>
      </c>
      <c r="G23" s="21">
        <f t="shared" si="0"/>
        <v>0</v>
      </c>
      <c r="H23" s="21">
        <f t="shared" si="0"/>
        <v>173.07999999999996</v>
      </c>
      <c r="I23" s="21">
        <f t="shared" si="0"/>
        <v>36304.219999999994</v>
      </c>
      <c r="J23" s="21">
        <f t="shared" si="0"/>
        <v>35186.800000000003</v>
      </c>
      <c r="K23" s="21">
        <f t="shared" si="0"/>
        <v>0</v>
      </c>
      <c r="L23" s="21">
        <f t="shared" si="0"/>
        <v>625.95999999999913</v>
      </c>
      <c r="M23" s="21">
        <f t="shared" si="0"/>
        <v>0</v>
      </c>
      <c r="N23" s="21">
        <f t="shared" si="0"/>
        <v>491.46</v>
      </c>
      <c r="O23" s="21">
        <f t="shared" si="0"/>
        <v>37686.699999999997</v>
      </c>
      <c r="P23" s="21">
        <f t="shared" si="0"/>
        <v>34360.709999999992</v>
      </c>
      <c r="Q23" s="21">
        <f t="shared" si="0"/>
        <v>0</v>
      </c>
      <c r="R23" s="21">
        <f t="shared" si="0"/>
        <v>717.45</v>
      </c>
      <c r="S23" s="21">
        <f t="shared" si="0"/>
        <v>0</v>
      </c>
      <c r="T23" s="21">
        <f t="shared" si="0"/>
        <v>2608.54</v>
      </c>
      <c r="U23" s="21">
        <f t="shared" si="0"/>
        <v>40015.229999999996</v>
      </c>
      <c r="V23" s="21">
        <f t="shared" si="0"/>
        <v>36605.959999999992</v>
      </c>
      <c r="W23" s="21">
        <f t="shared" si="0"/>
        <v>0</v>
      </c>
      <c r="X23" s="21">
        <f t="shared" si="0"/>
        <v>778.41</v>
      </c>
      <c r="Y23" s="21">
        <f t="shared" si="0"/>
        <v>0</v>
      </c>
      <c r="Z23" s="21">
        <f t="shared" si="0"/>
        <v>2630.86</v>
      </c>
      <c r="AA23" s="21">
        <f t="shared" si="0"/>
        <v>41829.67</v>
      </c>
      <c r="AB23" s="21">
        <f t="shared" si="0"/>
        <v>38312.179999999993</v>
      </c>
      <c r="AC23" s="21">
        <f t="shared" si="0"/>
        <v>0</v>
      </c>
      <c r="AD23" s="21">
        <f t="shared" si="0"/>
        <v>878.63</v>
      </c>
      <c r="AE23" s="21">
        <f t="shared" si="0"/>
        <v>0</v>
      </c>
      <c r="AF23" s="21">
        <f t="shared" si="0"/>
        <v>2638.86</v>
      </c>
    </row>
    <row r="24" spans="1:32" ht="15.75" x14ac:dyDescent="0.25">
      <c r="A24" s="188" t="s">
        <v>44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90"/>
    </row>
    <row r="25" spans="1:32" s="30" customFormat="1" ht="31.5" x14ac:dyDescent="0.25">
      <c r="A25" s="16">
        <v>18</v>
      </c>
      <c r="B25" s="17" t="s">
        <v>62</v>
      </c>
      <c r="C25" s="18">
        <v>36.65</v>
      </c>
      <c r="D25" s="18">
        <v>0</v>
      </c>
      <c r="E25" s="18">
        <v>36.65</v>
      </c>
      <c r="F25" s="18">
        <v>0</v>
      </c>
      <c r="G25" s="18">
        <v>0</v>
      </c>
      <c r="H25" s="18">
        <v>0</v>
      </c>
      <c r="I25" s="18">
        <v>36.65</v>
      </c>
      <c r="J25" s="18">
        <v>0</v>
      </c>
      <c r="K25" s="18">
        <v>36.65</v>
      </c>
      <c r="L25" s="18">
        <v>0</v>
      </c>
      <c r="M25" s="18">
        <v>0</v>
      </c>
      <c r="N25" s="18">
        <v>0</v>
      </c>
      <c r="O25" s="19">
        <v>36.65</v>
      </c>
      <c r="P25" s="19">
        <v>0</v>
      </c>
      <c r="Q25" s="19">
        <v>36.65</v>
      </c>
      <c r="R25" s="19">
        <v>0</v>
      </c>
      <c r="S25" s="19">
        <v>0</v>
      </c>
      <c r="T25" s="19">
        <v>0</v>
      </c>
      <c r="U25" s="19">
        <v>36.65</v>
      </c>
      <c r="V25" s="19">
        <v>0</v>
      </c>
      <c r="W25" s="19">
        <v>36.65</v>
      </c>
      <c r="X25" s="19">
        <v>0</v>
      </c>
      <c r="Y25" s="19">
        <v>0</v>
      </c>
      <c r="Z25" s="19">
        <v>0</v>
      </c>
      <c r="AA25" s="19">
        <v>36.65</v>
      </c>
      <c r="AB25" s="19">
        <v>0</v>
      </c>
      <c r="AC25" s="19">
        <v>36.65</v>
      </c>
      <c r="AD25" s="19">
        <v>0</v>
      </c>
      <c r="AE25" s="19">
        <v>0</v>
      </c>
      <c r="AF25" s="19">
        <v>0</v>
      </c>
    </row>
    <row r="26" spans="1:32" ht="31.5" x14ac:dyDescent="0.25">
      <c r="A26" s="11">
        <v>19</v>
      </c>
      <c r="B26" s="12" t="s">
        <v>121</v>
      </c>
      <c r="C26" s="13">
        <v>159.12</v>
      </c>
      <c r="D26" s="13">
        <v>0</v>
      </c>
      <c r="E26" s="13">
        <v>159.12</v>
      </c>
      <c r="F26" s="13">
        <v>0</v>
      </c>
      <c r="G26" s="13">
        <v>0</v>
      </c>
      <c r="H26" s="13">
        <v>0</v>
      </c>
      <c r="I26" s="13">
        <v>215.01</v>
      </c>
      <c r="J26" s="13">
        <v>0</v>
      </c>
      <c r="K26" s="13">
        <v>215.01</v>
      </c>
      <c r="L26" s="13">
        <v>0</v>
      </c>
      <c r="M26" s="13">
        <v>0</v>
      </c>
      <c r="N26" s="13">
        <v>0</v>
      </c>
      <c r="O26" s="14">
        <v>215.01</v>
      </c>
      <c r="P26" s="14">
        <v>0</v>
      </c>
      <c r="Q26" s="14">
        <v>215.01</v>
      </c>
      <c r="R26" s="14">
        <v>0</v>
      </c>
      <c r="S26" s="14">
        <v>0</v>
      </c>
      <c r="T26" s="14">
        <v>0</v>
      </c>
      <c r="U26" s="14">
        <v>220.47</v>
      </c>
      <c r="V26" s="14">
        <v>0</v>
      </c>
      <c r="W26" s="14">
        <v>220.47</v>
      </c>
      <c r="X26" s="14">
        <v>0</v>
      </c>
      <c r="Y26" s="14">
        <v>0</v>
      </c>
      <c r="Z26" s="14">
        <v>0</v>
      </c>
      <c r="AA26" s="14">
        <v>228.68</v>
      </c>
      <c r="AB26" s="14">
        <v>0</v>
      </c>
      <c r="AC26" s="14">
        <v>228.68</v>
      </c>
      <c r="AD26" s="14">
        <v>0</v>
      </c>
      <c r="AE26" s="14">
        <v>0</v>
      </c>
      <c r="AF26" s="14">
        <v>0</v>
      </c>
    </row>
    <row r="27" spans="1:32" s="30" customFormat="1" ht="47.25" x14ac:dyDescent="0.25">
      <c r="A27" s="16">
        <v>20</v>
      </c>
      <c r="B27" s="17" t="s">
        <v>46</v>
      </c>
      <c r="C27" s="18">
        <v>200</v>
      </c>
      <c r="D27" s="18">
        <v>0</v>
      </c>
      <c r="E27" s="18">
        <v>102</v>
      </c>
      <c r="F27" s="18">
        <v>0</v>
      </c>
      <c r="G27" s="18">
        <v>98</v>
      </c>
      <c r="H27" s="18">
        <v>0</v>
      </c>
      <c r="I27" s="18">
        <v>200</v>
      </c>
      <c r="J27" s="18">
        <v>0</v>
      </c>
      <c r="K27" s="18">
        <v>102</v>
      </c>
      <c r="L27" s="18">
        <v>0</v>
      </c>
      <c r="M27" s="18">
        <v>98</v>
      </c>
      <c r="N27" s="18">
        <v>0</v>
      </c>
      <c r="O27" s="19">
        <v>200</v>
      </c>
      <c r="P27" s="19">
        <v>0</v>
      </c>
      <c r="Q27" s="19">
        <v>102</v>
      </c>
      <c r="R27" s="19">
        <v>0</v>
      </c>
      <c r="S27" s="19">
        <v>98</v>
      </c>
      <c r="T27" s="19">
        <v>0</v>
      </c>
      <c r="U27" s="19">
        <v>200</v>
      </c>
      <c r="V27" s="19">
        <v>0</v>
      </c>
      <c r="W27" s="19">
        <v>102</v>
      </c>
      <c r="X27" s="19">
        <v>0</v>
      </c>
      <c r="Y27" s="19">
        <v>98</v>
      </c>
      <c r="Z27" s="19">
        <v>0</v>
      </c>
      <c r="AA27" s="19">
        <v>200</v>
      </c>
      <c r="AB27" s="19">
        <v>0</v>
      </c>
      <c r="AC27" s="23">
        <v>102</v>
      </c>
      <c r="AD27" s="19">
        <v>0</v>
      </c>
      <c r="AE27" s="19">
        <v>98</v>
      </c>
      <c r="AF27" s="19">
        <v>0</v>
      </c>
    </row>
    <row r="28" spans="1:32" ht="47.25" x14ac:dyDescent="0.25">
      <c r="A28" s="11">
        <v>21</v>
      </c>
      <c r="B28" s="12" t="s">
        <v>122</v>
      </c>
      <c r="C28" s="13">
        <v>100</v>
      </c>
      <c r="D28" s="13">
        <v>0</v>
      </c>
      <c r="E28" s="13">
        <v>74</v>
      </c>
      <c r="F28" s="13">
        <v>0</v>
      </c>
      <c r="G28" s="13">
        <v>26</v>
      </c>
      <c r="H28" s="13">
        <v>0</v>
      </c>
      <c r="I28" s="13">
        <v>100</v>
      </c>
      <c r="J28" s="13">
        <v>0</v>
      </c>
      <c r="K28" s="13">
        <v>74</v>
      </c>
      <c r="L28" s="13">
        <v>0</v>
      </c>
      <c r="M28" s="13">
        <v>26</v>
      </c>
      <c r="N28" s="13">
        <v>0</v>
      </c>
      <c r="O28" s="14">
        <v>100</v>
      </c>
      <c r="P28" s="14">
        <v>0</v>
      </c>
      <c r="Q28" s="14">
        <v>74</v>
      </c>
      <c r="R28" s="14">
        <v>0</v>
      </c>
      <c r="S28" s="14">
        <v>26</v>
      </c>
      <c r="T28" s="14">
        <v>0</v>
      </c>
      <c r="U28" s="14">
        <v>100</v>
      </c>
      <c r="V28" s="14">
        <v>0</v>
      </c>
      <c r="W28" s="14">
        <v>74</v>
      </c>
      <c r="X28" s="14">
        <v>0</v>
      </c>
      <c r="Y28" s="14">
        <v>26</v>
      </c>
      <c r="Z28" s="14">
        <v>0</v>
      </c>
      <c r="AA28" s="14">
        <v>100</v>
      </c>
      <c r="AB28" s="14">
        <v>0</v>
      </c>
      <c r="AC28" s="14">
        <v>74</v>
      </c>
      <c r="AD28" s="14">
        <v>0</v>
      </c>
      <c r="AE28" s="14">
        <v>26</v>
      </c>
      <c r="AF28" s="14">
        <v>0</v>
      </c>
    </row>
    <row r="29" spans="1:32" s="30" customFormat="1" ht="47.25" x14ac:dyDescent="0.25">
      <c r="A29" s="16">
        <v>22</v>
      </c>
      <c r="B29" s="17" t="s">
        <v>124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9">
        <v>0.05</v>
      </c>
      <c r="P29" s="19">
        <v>0</v>
      </c>
      <c r="Q29" s="19">
        <v>0.05</v>
      </c>
      <c r="R29" s="19">
        <v>0</v>
      </c>
      <c r="S29" s="19">
        <v>0</v>
      </c>
      <c r="T29" s="19">
        <v>0</v>
      </c>
      <c r="U29" s="19">
        <v>0.05</v>
      </c>
      <c r="V29" s="19">
        <v>0</v>
      </c>
      <c r="W29" s="19">
        <v>0.05</v>
      </c>
      <c r="X29" s="19">
        <v>0</v>
      </c>
      <c r="Y29" s="19">
        <v>0</v>
      </c>
      <c r="Z29" s="19">
        <v>0</v>
      </c>
      <c r="AA29" s="19">
        <v>0.05</v>
      </c>
      <c r="AB29" s="19">
        <v>0</v>
      </c>
      <c r="AC29" s="19">
        <v>0.05</v>
      </c>
      <c r="AD29" s="19">
        <v>0</v>
      </c>
      <c r="AE29" s="19">
        <v>0</v>
      </c>
      <c r="AF29" s="19">
        <v>0</v>
      </c>
    </row>
    <row r="30" spans="1:32" ht="31.5" x14ac:dyDescent="0.25">
      <c r="A30" s="11">
        <v>23</v>
      </c>
      <c r="B30" s="12" t="s">
        <v>123</v>
      </c>
      <c r="C30" s="13">
        <v>165</v>
      </c>
      <c r="D30" s="13">
        <v>0</v>
      </c>
      <c r="E30" s="13">
        <v>165</v>
      </c>
      <c r="F30" s="13">
        <v>0</v>
      </c>
      <c r="G30" s="13">
        <v>0</v>
      </c>
      <c r="H30" s="13">
        <v>0</v>
      </c>
      <c r="I30" s="13">
        <v>165</v>
      </c>
      <c r="J30" s="13">
        <v>0</v>
      </c>
      <c r="K30" s="13">
        <v>165</v>
      </c>
      <c r="L30" s="13">
        <v>0</v>
      </c>
      <c r="M30" s="13">
        <v>0</v>
      </c>
      <c r="N30" s="13">
        <v>0</v>
      </c>
      <c r="O30" s="14">
        <v>165</v>
      </c>
      <c r="P30" s="14">
        <v>0</v>
      </c>
      <c r="Q30" s="14">
        <v>165</v>
      </c>
      <c r="R30" s="14">
        <v>0</v>
      </c>
      <c r="S30" s="14">
        <v>0</v>
      </c>
      <c r="T30" s="14">
        <v>0</v>
      </c>
      <c r="U30" s="14">
        <v>165</v>
      </c>
      <c r="V30" s="14">
        <v>0</v>
      </c>
      <c r="W30" s="14">
        <v>165</v>
      </c>
      <c r="X30" s="14">
        <v>0</v>
      </c>
      <c r="Y30" s="14">
        <v>0</v>
      </c>
      <c r="Z30" s="14">
        <v>0</v>
      </c>
      <c r="AA30" s="14">
        <v>165</v>
      </c>
      <c r="AB30" s="14">
        <v>0</v>
      </c>
      <c r="AC30" s="14">
        <v>165</v>
      </c>
      <c r="AD30" s="14">
        <v>0</v>
      </c>
      <c r="AE30" s="14">
        <v>0</v>
      </c>
      <c r="AF30" s="14">
        <v>0</v>
      </c>
    </row>
    <row r="31" spans="1:32" s="30" customFormat="1" ht="31.5" x14ac:dyDescent="0.25">
      <c r="A31" s="16">
        <v>24</v>
      </c>
      <c r="B31" s="17" t="s">
        <v>135</v>
      </c>
      <c r="C31" s="18">
        <v>150</v>
      </c>
      <c r="D31" s="18">
        <v>0</v>
      </c>
      <c r="E31" s="18">
        <v>150</v>
      </c>
      <c r="F31" s="18">
        <v>0</v>
      </c>
      <c r="G31" s="18">
        <v>0</v>
      </c>
      <c r="H31" s="18">
        <v>0</v>
      </c>
      <c r="I31" s="18">
        <v>150</v>
      </c>
      <c r="J31" s="18">
        <v>0</v>
      </c>
      <c r="K31" s="18">
        <v>150</v>
      </c>
      <c r="L31" s="18">
        <v>0</v>
      </c>
      <c r="M31" s="18">
        <v>0</v>
      </c>
      <c r="N31" s="18">
        <v>0</v>
      </c>
      <c r="O31" s="19">
        <v>150</v>
      </c>
      <c r="P31" s="19">
        <v>0</v>
      </c>
      <c r="Q31" s="19">
        <v>150</v>
      </c>
      <c r="R31" s="19">
        <v>0</v>
      </c>
      <c r="S31" s="19">
        <v>0</v>
      </c>
      <c r="T31" s="19">
        <v>0</v>
      </c>
      <c r="U31" s="19">
        <v>150</v>
      </c>
      <c r="V31" s="19">
        <v>0</v>
      </c>
      <c r="W31" s="19">
        <v>150</v>
      </c>
      <c r="X31" s="19">
        <v>0</v>
      </c>
      <c r="Y31" s="19">
        <v>0</v>
      </c>
      <c r="Z31" s="19">
        <v>0</v>
      </c>
      <c r="AA31" s="19">
        <v>150</v>
      </c>
      <c r="AB31" s="19">
        <v>0</v>
      </c>
      <c r="AC31" s="19">
        <v>150</v>
      </c>
      <c r="AD31" s="19">
        <v>0</v>
      </c>
      <c r="AE31" s="19">
        <v>0</v>
      </c>
      <c r="AF31" s="19">
        <v>0</v>
      </c>
    </row>
    <row r="32" spans="1:32" ht="47.25" x14ac:dyDescent="0.25">
      <c r="A32" s="11">
        <v>25</v>
      </c>
      <c r="B32" s="12" t="s">
        <v>136</v>
      </c>
      <c r="C32" s="13">
        <v>104.05</v>
      </c>
      <c r="D32" s="13">
        <v>0</v>
      </c>
      <c r="E32" s="13">
        <v>104.05</v>
      </c>
      <c r="F32" s="13">
        <v>0</v>
      </c>
      <c r="G32" s="13">
        <v>0</v>
      </c>
      <c r="H32" s="13">
        <v>0</v>
      </c>
      <c r="I32" s="13">
        <v>164.05</v>
      </c>
      <c r="J32" s="13">
        <v>0</v>
      </c>
      <c r="K32" s="13">
        <v>164.05</v>
      </c>
      <c r="L32" s="13">
        <v>0</v>
      </c>
      <c r="M32" s="13">
        <v>0</v>
      </c>
      <c r="N32" s="13">
        <v>0</v>
      </c>
      <c r="O32" s="14">
        <v>164.05</v>
      </c>
      <c r="P32" s="14">
        <v>0</v>
      </c>
      <c r="Q32" s="14">
        <v>164.05</v>
      </c>
      <c r="R32" s="14">
        <v>0</v>
      </c>
      <c r="S32" s="14">
        <v>0</v>
      </c>
      <c r="T32" s="14">
        <v>0</v>
      </c>
      <c r="U32" s="14">
        <v>173</v>
      </c>
      <c r="V32" s="14">
        <v>0</v>
      </c>
      <c r="W32" s="14">
        <v>173</v>
      </c>
      <c r="X32" s="14">
        <v>0</v>
      </c>
      <c r="Y32" s="14">
        <v>0</v>
      </c>
      <c r="Z32" s="14">
        <v>0</v>
      </c>
      <c r="AA32" s="14">
        <v>173</v>
      </c>
      <c r="AB32" s="14">
        <v>0</v>
      </c>
      <c r="AC32" s="14">
        <v>173</v>
      </c>
      <c r="AD32" s="14">
        <v>0</v>
      </c>
      <c r="AE32" s="14">
        <v>0</v>
      </c>
      <c r="AF32" s="14">
        <v>0</v>
      </c>
    </row>
    <row r="33" spans="1:32" s="30" customFormat="1" ht="47.25" x14ac:dyDescent="0.25">
      <c r="A33" s="16">
        <v>26</v>
      </c>
      <c r="B33" s="17" t="s">
        <v>137</v>
      </c>
      <c r="C33" s="18">
        <v>6</v>
      </c>
      <c r="D33" s="18">
        <v>0</v>
      </c>
      <c r="E33" s="18">
        <v>6</v>
      </c>
      <c r="F33" s="18">
        <v>0</v>
      </c>
      <c r="G33" s="18">
        <v>0</v>
      </c>
      <c r="H33" s="18">
        <v>0</v>
      </c>
      <c r="I33" s="18">
        <v>10</v>
      </c>
      <c r="J33" s="18">
        <v>0</v>
      </c>
      <c r="K33" s="18">
        <v>10</v>
      </c>
      <c r="L33" s="18">
        <v>0</v>
      </c>
      <c r="M33" s="18">
        <v>0</v>
      </c>
      <c r="N33" s="18">
        <v>0</v>
      </c>
      <c r="O33" s="19">
        <v>10</v>
      </c>
      <c r="P33" s="19">
        <v>0</v>
      </c>
      <c r="Q33" s="19">
        <v>10</v>
      </c>
      <c r="R33" s="19">
        <v>0</v>
      </c>
      <c r="S33" s="19">
        <v>0</v>
      </c>
      <c r="T33" s="19">
        <v>0</v>
      </c>
      <c r="U33" s="19">
        <v>10</v>
      </c>
      <c r="V33" s="19">
        <v>0</v>
      </c>
      <c r="W33" s="19">
        <v>10</v>
      </c>
      <c r="X33" s="19">
        <v>0</v>
      </c>
      <c r="Y33" s="19">
        <v>0</v>
      </c>
      <c r="Z33" s="19">
        <v>0</v>
      </c>
      <c r="AA33" s="19">
        <v>10</v>
      </c>
      <c r="AB33" s="19">
        <v>0</v>
      </c>
      <c r="AC33" s="19">
        <v>10</v>
      </c>
      <c r="AD33" s="19">
        <v>0</v>
      </c>
      <c r="AE33" s="19">
        <v>0</v>
      </c>
      <c r="AF33" s="19">
        <v>0</v>
      </c>
    </row>
    <row r="34" spans="1:32" ht="31.5" x14ac:dyDescent="0.25">
      <c r="A34" s="11">
        <v>27</v>
      </c>
      <c r="B34" s="12" t="s">
        <v>144</v>
      </c>
      <c r="C34" s="13">
        <v>65</v>
      </c>
      <c r="D34" s="13">
        <v>0</v>
      </c>
      <c r="E34" s="13">
        <v>65</v>
      </c>
      <c r="F34" s="13">
        <v>0</v>
      </c>
      <c r="G34" s="13">
        <v>0</v>
      </c>
      <c r="H34" s="13">
        <v>0</v>
      </c>
      <c r="I34" s="13">
        <v>65</v>
      </c>
      <c r="J34" s="13">
        <v>0</v>
      </c>
      <c r="K34" s="13">
        <v>65</v>
      </c>
      <c r="L34" s="13">
        <v>0</v>
      </c>
      <c r="M34" s="13">
        <v>0</v>
      </c>
      <c r="N34" s="13">
        <v>0</v>
      </c>
      <c r="O34" s="14">
        <v>65</v>
      </c>
      <c r="P34" s="14">
        <v>0</v>
      </c>
      <c r="Q34" s="14">
        <v>65</v>
      </c>
      <c r="R34" s="14">
        <v>0</v>
      </c>
      <c r="S34" s="14">
        <v>0</v>
      </c>
      <c r="T34" s="14">
        <v>0</v>
      </c>
      <c r="U34" s="14">
        <v>65</v>
      </c>
      <c r="V34" s="14">
        <v>0</v>
      </c>
      <c r="W34" s="14">
        <v>65</v>
      </c>
      <c r="X34" s="14">
        <v>0</v>
      </c>
      <c r="Y34" s="14">
        <v>0</v>
      </c>
      <c r="Z34" s="14">
        <v>0</v>
      </c>
      <c r="AA34" s="14">
        <v>65</v>
      </c>
      <c r="AB34" s="14">
        <v>0</v>
      </c>
      <c r="AC34" s="14">
        <v>65</v>
      </c>
      <c r="AD34" s="14">
        <v>0</v>
      </c>
      <c r="AE34" s="14">
        <v>0</v>
      </c>
      <c r="AF34" s="14">
        <v>0</v>
      </c>
    </row>
    <row r="35" spans="1:32" s="30" customFormat="1" ht="47.25" x14ac:dyDescent="0.25">
      <c r="A35" s="16">
        <v>28</v>
      </c>
      <c r="B35" s="17" t="s">
        <v>126</v>
      </c>
      <c r="C35" s="182" t="s">
        <v>83</v>
      </c>
      <c r="D35" s="186"/>
      <c r="E35" s="186"/>
      <c r="F35" s="186"/>
      <c r="G35" s="186"/>
      <c r="H35" s="186"/>
      <c r="I35" s="182" t="s">
        <v>83</v>
      </c>
      <c r="J35" s="186"/>
      <c r="K35" s="186"/>
      <c r="L35" s="186"/>
      <c r="M35" s="186"/>
      <c r="N35" s="186"/>
      <c r="O35" s="182" t="s">
        <v>83</v>
      </c>
      <c r="P35" s="186"/>
      <c r="Q35" s="186"/>
      <c r="R35" s="186"/>
      <c r="S35" s="186"/>
      <c r="T35" s="186"/>
      <c r="U35" s="22">
        <v>0.05</v>
      </c>
      <c r="V35" s="22">
        <v>0</v>
      </c>
      <c r="W35" s="22">
        <v>0.05</v>
      </c>
      <c r="X35" s="22">
        <v>0</v>
      </c>
      <c r="Y35" s="22">
        <v>0</v>
      </c>
      <c r="Z35" s="22">
        <v>0</v>
      </c>
      <c r="AA35" s="19">
        <v>0.05</v>
      </c>
      <c r="AB35" s="19" t="s">
        <v>77</v>
      </c>
      <c r="AC35" s="18">
        <v>0.05</v>
      </c>
      <c r="AD35" s="23">
        <v>0</v>
      </c>
      <c r="AE35" s="19">
        <v>0</v>
      </c>
      <c r="AF35" s="19">
        <v>0</v>
      </c>
    </row>
    <row r="36" spans="1:32" ht="31.5" x14ac:dyDescent="0.25">
      <c r="A36" s="11">
        <v>29</v>
      </c>
      <c r="B36" s="12" t="s">
        <v>125</v>
      </c>
      <c r="C36" s="184" t="s">
        <v>81</v>
      </c>
      <c r="D36" s="187"/>
      <c r="E36" s="187"/>
      <c r="F36" s="187"/>
      <c r="G36" s="187"/>
      <c r="H36" s="187"/>
      <c r="I36" s="184" t="s">
        <v>81</v>
      </c>
      <c r="J36" s="187"/>
      <c r="K36" s="187"/>
      <c r="L36" s="187"/>
      <c r="M36" s="187"/>
      <c r="N36" s="187"/>
      <c r="O36" s="184" t="s">
        <v>81</v>
      </c>
      <c r="P36" s="187"/>
      <c r="Q36" s="187"/>
      <c r="R36" s="187"/>
      <c r="S36" s="187"/>
      <c r="T36" s="187"/>
      <c r="U36" s="184" t="s">
        <v>82</v>
      </c>
      <c r="V36" s="187"/>
      <c r="W36" s="187"/>
      <c r="X36" s="187"/>
      <c r="Y36" s="187"/>
      <c r="Z36" s="187"/>
      <c r="AA36" s="14">
        <v>0.05</v>
      </c>
      <c r="AB36" s="13">
        <v>0</v>
      </c>
      <c r="AC36" s="13">
        <v>0.05</v>
      </c>
      <c r="AD36" s="13">
        <v>0</v>
      </c>
      <c r="AE36" s="13">
        <v>0</v>
      </c>
      <c r="AF36" s="13">
        <v>0</v>
      </c>
    </row>
    <row r="37" spans="1:32" s="30" customFormat="1" ht="63" x14ac:dyDescent="0.25">
      <c r="A37" s="16">
        <v>30</v>
      </c>
      <c r="B37" s="17" t="s">
        <v>138</v>
      </c>
      <c r="C37" s="182" t="s">
        <v>83</v>
      </c>
      <c r="D37" s="186"/>
      <c r="E37" s="186"/>
      <c r="F37" s="186"/>
      <c r="G37" s="186"/>
      <c r="H37" s="186"/>
      <c r="I37" s="182" t="s">
        <v>83</v>
      </c>
      <c r="J37" s="186"/>
      <c r="K37" s="186"/>
      <c r="L37" s="186"/>
      <c r="M37" s="186"/>
      <c r="N37" s="186"/>
      <c r="O37" s="182" t="s">
        <v>83</v>
      </c>
      <c r="P37" s="186"/>
      <c r="Q37" s="186"/>
      <c r="R37" s="186"/>
      <c r="S37" s="186"/>
      <c r="T37" s="186"/>
      <c r="U37" s="22">
        <v>0.05</v>
      </c>
      <c r="V37" s="22">
        <v>0</v>
      </c>
      <c r="W37" s="22">
        <v>0.05</v>
      </c>
      <c r="X37" s="22">
        <v>0</v>
      </c>
      <c r="Y37" s="22">
        <v>0</v>
      </c>
      <c r="Z37" s="22">
        <v>0</v>
      </c>
      <c r="AA37" s="19">
        <v>0.05</v>
      </c>
      <c r="AB37" s="19">
        <v>0</v>
      </c>
      <c r="AC37" s="18">
        <v>0.05</v>
      </c>
      <c r="AD37" s="23">
        <v>0</v>
      </c>
      <c r="AE37" s="19">
        <v>0</v>
      </c>
      <c r="AF37" s="19">
        <v>0</v>
      </c>
    </row>
    <row r="38" spans="1:32" ht="47.25" x14ac:dyDescent="0.25">
      <c r="A38" s="11">
        <v>31</v>
      </c>
      <c r="B38" s="12" t="s">
        <v>127</v>
      </c>
      <c r="C38" s="184" t="s">
        <v>81</v>
      </c>
      <c r="D38" s="187"/>
      <c r="E38" s="187"/>
      <c r="F38" s="187"/>
      <c r="G38" s="187"/>
      <c r="H38" s="187"/>
      <c r="I38" s="184" t="s">
        <v>81</v>
      </c>
      <c r="J38" s="187"/>
      <c r="K38" s="187"/>
      <c r="L38" s="187"/>
      <c r="M38" s="187"/>
      <c r="N38" s="187"/>
      <c r="O38" s="184" t="s">
        <v>81</v>
      </c>
      <c r="P38" s="187"/>
      <c r="Q38" s="187"/>
      <c r="R38" s="187"/>
      <c r="S38" s="187"/>
      <c r="T38" s="187"/>
      <c r="U38" s="184" t="s">
        <v>82</v>
      </c>
      <c r="V38" s="187"/>
      <c r="W38" s="187"/>
      <c r="X38" s="187"/>
      <c r="Y38" s="187"/>
      <c r="Z38" s="187"/>
      <c r="AA38" s="14">
        <v>0.05</v>
      </c>
      <c r="AB38" s="13" t="s">
        <v>77</v>
      </c>
      <c r="AC38" s="13">
        <v>0.05</v>
      </c>
      <c r="AD38" s="36">
        <v>0</v>
      </c>
      <c r="AE38" s="13">
        <v>0</v>
      </c>
      <c r="AF38" s="13">
        <v>0</v>
      </c>
    </row>
    <row r="39" spans="1:32" s="30" customFormat="1" ht="31.5" x14ac:dyDescent="0.25">
      <c r="A39" s="16">
        <v>32</v>
      </c>
      <c r="B39" s="17" t="s">
        <v>128</v>
      </c>
      <c r="C39" s="182" t="s">
        <v>81</v>
      </c>
      <c r="D39" s="186"/>
      <c r="E39" s="186"/>
      <c r="F39" s="186"/>
      <c r="G39" s="186"/>
      <c r="H39" s="186"/>
      <c r="I39" s="182" t="s">
        <v>81</v>
      </c>
      <c r="J39" s="186"/>
      <c r="K39" s="186"/>
      <c r="L39" s="186"/>
      <c r="M39" s="186"/>
      <c r="N39" s="186"/>
      <c r="O39" s="182" t="s">
        <v>81</v>
      </c>
      <c r="P39" s="186"/>
      <c r="Q39" s="186"/>
      <c r="R39" s="186"/>
      <c r="S39" s="186"/>
      <c r="T39" s="186"/>
      <c r="U39" s="182" t="s">
        <v>82</v>
      </c>
      <c r="V39" s="186"/>
      <c r="W39" s="186"/>
      <c r="X39" s="186"/>
      <c r="Y39" s="186"/>
      <c r="Z39" s="186"/>
      <c r="AA39" s="24">
        <v>5</v>
      </c>
      <c r="AB39" s="21">
        <v>0</v>
      </c>
      <c r="AC39" s="21">
        <v>3.8</v>
      </c>
      <c r="AD39" s="21">
        <v>0</v>
      </c>
      <c r="AE39" s="21">
        <v>0</v>
      </c>
      <c r="AF39" s="21">
        <v>1.2</v>
      </c>
    </row>
    <row r="40" spans="1:32" ht="31.5" x14ac:dyDescent="0.25">
      <c r="A40" s="11">
        <v>33</v>
      </c>
      <c r="B40" s="12" t="s">
        <v>90</v>
      </c>
      <c r="C40" s="13">
        <v>0.11</v>
      </c>
      <c r="D40" s="13">
        <v>0</v>
      </c>
      <c r="E40" s="13">
        <v>0.11</v>
      </c>
      <c r="F40" s="13">
        <v>0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</v>
      </c>
      <c r="M40" s="13">
        <v>0</v>
      </c>
      <c r="N40" s="13">
        <v>0</v>
      </c>
      <c r="O40" s="14">
        <v>0.11</v>
      </c>
      <c r="P40" s="14">
        <v>0</v>
      </c>
      <c r="Q40" s="14">
        <v>0.11</v>
      </c>
      <c r="R40" s="14">
        <v>0</v>
      </c>
      <c r="S40" s="14">
        <v>0</v>
      </c>
      <c r="T40" s="14">
        <v>0</v>
      </c>
      <c r="U40" s="14">
        <v>45</v>
      </c>
      <c r="V40" s="14">
        <v>0</v>
      </c>
      <c r="W40" s="14">
        <v>45</v>
      </c>
      <c r="X40" s="14">
        <v>0</v>
      </c>
      <c r="Y40" s="14">
        <v>0</v>
      </c>
      <c r="Z40" s="14">
        <v>0</v>
      </c>
      <c r="AA40" s="14">
        <v>45</v>
      </c>
      <c r="AB40" s="14">
        <v>0</v>
      </c>
      <c r="AC40" s="13">
        <v>45</v>
      </c>
      <c r="AD40" s="13">
        <v>0</v>
      </c>
      <c r="AE40" s="13">
        <v>0</v>
      </c>
      <c r="AF40" s="13">
        <v>0</v>
      </c>
    </row>
    <row r="41" spans="1:32" s="30" customFormat="1" ht="31.5" x14ac:dyDescent="0.25">
      <c r="A41" s="16">
        <v>34</v>
      </c>
      <c r="B41" s="17" t="s">
        <v>129</v>
      </c>
      <c r="C41" s="18">
        <v>10</v>
      </c>
      <c r="D41" s="18">
        <v>0</v>
      </c>
      <c r="E41" s="18">
        <v>10</v>
      </c>
      <c r="F41" s="18">
        <v>0</v>
      </c>
      <c r="G41" s="18">
        <v>0</v>
      </c>
      <c r="H41" s="18">
        <v>0</v>
      </c>
      <c r="I41" s="18">
        <v>10</v>
      </c>
      <c r="J41" s="18">
        <v>0</v>
      </c>
      <c r="K41" s="18">
        <v>10</v>
      </c>
      <c r="L41" s="18">
        <v>0</v>
      </c>
      <c r="M41" s="18">
        <v>0</v>
      </c>
      <c r="N41" s="18">
        <v>0</v>
      </c>
      <c r="O41" s="19">
        <v>10</v>
      </c>
      <c r="P41" s="19">
        <v>0</v>
      </c>
      <c r="Q41" s="19">
        <v>10</v>
      </c>
      <c r="R41" s="19">
        <v>0</v>
      </c>
      <c r="S41" s="19">
        <v>0</v>
      </c>
      <c r="T41" s="19">
        <v>0</v>
      </c>
      <c r="U41" s="19">
        <v>10</v>
      </c>
      <c r="V41" s="19">
        <v>0</v>
      </c>
      <c r="W41" s="19">
        <v>10</v>
      </c>
      <c r="X41" s="19">
        <v>0</v>
      </c>
      <c r="Y41" s="19">
        <v>0</v>
      </c>
      <c r="Z41" s="19">
        <v>0</v>
      </c>
      <c r="AA41" s="19">
        <v>10</v>
      </c>
      <c r="AB41" s="19">
        <v>0</v>
      </c>
      <c r="AC41" s="18">
        <v>10</v>
      </c>
      <c r="AD41" s="18">
        <v>0</v>
      </c>
      <c r="AE41" s="18">
        <v>0</v>
      </c>
      <c r="AF41" s="18">
        <v>0</v>
      </c>
    </row>
    <row r="42" spans="1:32" ht="15.75" x14ac:dyDescent="0.25">
      <c r="A42" s="37">
        <v>35</v>
      </c>
      <c r="B42" s="12" t="s">
        <v>202</v>
      </c>
      <c r="C42" s="13">
        <v>70</v>
      </c>
      <c r="D42" s="13">
        <v>34.299999999999997</v>
      </c>
      <c r="E42" s="13">
        <v>35.700000000000003</v>
      </c>
      <c r="F42" s="13">
        <v>0</v>
      </c>
      <c r="G42" s="13">
        <v>0</v>
      </c>
      <c r="H42" s="13">
        <v>0</v>
      </c>
      <c r="I42" s="13">
        <v>70</v>
      </c>
      <c r="J42" s="13">
        <v>34.299999999999997</v>
      </c>
      <c r="K42" s="13">
        <v>35.700000000000003</v>
      </c>
      <c r="L42" s="13">
        <v>0</v>
      </c>
      <c r="M42" s="13">
        <v>0</v>
      </c>
      <c r="N42" s="13">
        <v>0</v>
      </c>
      <c r="O42" s="14">
        <v>105</v>
      </c>
      <c r="P42" s="14">
        <v>51.45</v>
      </c>
      <c r="Q42" s="14">
        <v>53.55</v>
      </c>
      <c r="R42" s="14">
        <v>0</v>
      </c>
      <c r="S42" s="14">
        <v>0</v>
      </c>
      <c r="T42" s="14">
        <v>0</v>
      </c>
      <c r="U42" s="14">
        <v>105</v>
      </c>
      <c r="V42" s="14">
        <v>51.45</v>
      </c>
      <c r="W42" s="14">
        <v>53.55</v>
      </c>
      <c r="X42" s="14">
        <v>0</v>
      </c>
      <c r="Y42" s="14">
        <v>0</v>
      </c>
      <c r="Z42" s="14">
        <v>0</v>
      </c>
      <c r="AA42" s="14">
        <v>105</v>
      </c>
      <c r="AB42" s="14">
        <v>51.45</v>
      </c>
      <c r="AC42" s="13">
        <v>53.55</v>
      </c>
      <c r="AD42" s="13">
        <v>0</v>
      </c>
      <c r="AE42" s="13">
        <v>0</v>
      </c>
      <c r="AF42" s="13">
        <v>0</v>
      </c>
    </row>
    <row r="43" spans="1:32" s="30" customFormat="1" ht="15.75" x14ac:dyDescent="0.25">
      <c r="A43" s="182" t="s">
        <v>18</v>
      </c>
      <c r="B43" s="183"/>
      <c r="C43" s="21">
        <f t="shared" ref="C43:AF43" si="1">SUM(C25:C42)</f>
        <v>1065.9299999999998</v>
      </c>
      <c r="D43" s="21">
        <f t="shared" si="1"/>
        <v>34.299999999999997</v>
      </c>
      <c r="E43" s="21">
        <f t="shared" si="1"/>
        <v>907.63</v>
      </c>
      <c r="F43" s="21">
        <f t="shared" si="1"/>
        <v>0</v>
      </c>
      <c r="G43" s="21">
        <f t="shared" si="1"/>
        <v>124</v>
      </c>
      <c r="H43" s="21">
        <f t="shared" si="1"/>
        <v>0</v>
      </c>
      <c r="I43" s="21">
        <f t="shared" si="1"/>
        <v>1185.82</v>
      </c>
      <c r="J43" s="21">
        <f t="shared" si="1"/>
        <v>34.299999999999997</v>
      </c>
      <c r="K43" s="21">
        <f t="shared" si="1"/>
        <v>1027.52</v>
      </c>
      <c r="L43" s="21">
        <f t="shared" si="1"/>
        <v>0</v>
      </c>
      <c r="M43" s="21">
        <f t="shared" si="1"/>
        <v>124</v>
      </c>
      <c r="N43" s="21">
        <f t="shared" si="1"/>
        <v>0</v>
      </c>
      <c r="O43" s="21">
        <f t="shared" si="1"/>
        <v>1220.8699999999999</v>
      </c>
      <c r="P43" s="21">
        <f t="shared" si="1"/>
        <v>51.45</v>
      </c>
      <c r="Q43" s="21">
        <f t="shared" si="1"/>
        <v>1045.42</v>
      </c>
      <c r="R43" s="21">
        <f t="shared" si="1"/>
        <v>0</v>
      </c>
      <c r="S43" s="21">
        <f t="shared" si="1"/>
        <v>124</v>
      </c>
      <c r="T43" s="21">
        <f t="shared" si="1"/>
        <v>0</v>
      </c>
      <c r="U43" s="21">
        <f t="shared" si="1"/>
        <v>1280.27</v>
      </c>
      <c r="V43" s="21">
        <f t="shared" si="1"/>
        <v>51.45</v>
      </c>
      <c r="W43" s="21">
        <f t="shared" si="1"/>
        <v>1104.82</v>
      </c>
      <c r="X43" s="21">
        <f t="shared" si="1"/>
        <v>0</v>
      </c>
      <c r="Y43" s="21">
        <f t="shared" si="1"/>
        <v>124</v>
      </c>
      <c r="Z43" s="21">
        <f t="shared" si="1"/>
        <v>0</v>
      </c>
      <c r="AA43" s="21">
        <f t="shared" si="1"/>
        <v>1293.5799999999997</v>
      </c>
      <c r="AB43" s="21">
        <f t="shared" si="1"/>
        <v>51.45</v>
      </c>
      <c r="AC43" s="21">
        <f t="shared" si="1"/>
        <v>1116.9299999999996</v>
      </c>
      <c r="AD43" s="21">
        <f t="shared" si="1"/>
        <v>0</v>
      </c>
      <c r="AE43" s="21">
        <f t="shared" si="1"/>
        <v>124</v>
      </c>
      <c r="AF43" s="21">
        <f t="shared" si="1"/>
        <v>1.2</v>
      </c>
    </row>
    <row r="44" spans="1:32" ht="15.75" x14ac:dyDescent="0.25">
      <c r="A44" s="188" t="s">
        <v>48</v>
      </c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90"/>
    </row>
    <row r="45" spans="1:32" s="30" customFormat="1" ht="78.75" x14ac:dyDescent="0.25">
      <c r="A45" s="25">
        <v>36</v>
      </c>
      <c r="B45" s="17" t="s">
        <v>63</v>
      </c>
      <c r="C45" s="18">
        <v>51.6</v>
      </c>
      <c r="D45" s="18">
        <v>25.8</v>
      </c>
      <c r="E45" s="18">
        <v>25.8</v>
      </c>
      <c r="F45" s="18">
        <v>0</v>
      </c>
      <c r="G45" s="18">
        <v>0</v>
      </c>
      <c r="H45" s="18">
        <v>0</v>
      </c>
      <c r="I45" s="18">
        <v>80</v>
      </c>
      <c r="J45" s="18">
        <v>40</v>
      </c>
      <c r="K45" s="18">
        <v>40</v>
      </c>
      <c r="L45" s="18">
        <v>0</v>
      </c>
      <c r="M45" s="18">
        <v>0</v>
      </c>
      <c r="N45" s="18">
        <v>0</v>
      </c>
      <c r="O45" s="19">
        <v>200</v>
      </c>
      <c r="P45" s="19">
        <v>100</v>
      </c>
      <c r="Q45" s="19">
        <v>100</v>
      </c>
      <c r="R45" s="19">
        <v>0</v>
      </c>
      <c r="S45" s="19">
        <v>0</v>
      </c>
      <c r="T45" s="19">
        <v>0</v>
      </c>
      <c r="U45" s="19">
        <v>200</v>
      </c>
      <c r="V45" s="19">
        <v>100</v>
      </c>
      <c r="W45" s="19">
        <v>100</v>
      </c>
      <c r="X45" s="19">
        <v>0</v>
      </c>
      <c r="Y45" s="19">
        <v>0</v>
      </c>
      <c r="Z45" s="19">
        <v>0</v>
      </c>
      <c r="AA45" s="19">
        <v>200</v>
      </c>
      <c r="AB45" s="19">
        <v>100</v>
      </c>
      <c r="AC45" s="19">
        <v>100</v>
      </c>
      <c r="AD45" s="19">
        <v>0</v>
      </c>
      <c r="AE45" s="19">
        <v>0</v>
      </c>
      <c r="AF45" s="19">
        <v>0</v>
      </c>
    </row>
    <row r="46" spans="1:32" ht="78.75" x14ac:dyDescent="0.25">
      <c r="A46" s="11">
        <v>37</v>
      </c>
      <c r="B46" s="12" t="s">
        <v>130</v>
      </c>
      <c r="C46" s="13">
        <v>0.1</v>
      </c>
      <c r="D46" s="13">
        <v>0</v>
      </c>
      <c r="E46" s="13">
        <v>0.06</v>
      </c>
      <c r="F46" s="13">
        <v>0.04</v>
      </c>
      <c r="G46" s="13">
        <v>0</v>
      </c>
      <c r="H46" s="13">
        <v>0</v>
      </c>
      <c r="I46" s="13">
        <v>10</v>
      </c>
      <c r="J46" s="13">
        <v>0</v>
      </c>
      <c r="K46" s="13">
        <v>6.3</v>
      </c>
      <c r="L46" s="13">
        <v>3.4</v>
      </c>
      <c r="M46" s="13">
        <v>0</v>
      </c>
      <c r="N46" s="13">
        <v>0.3</v>
      </c>
      <c r="O46" s="14">
        <v>10</v>
      </c>
      <c r="P46" s="14">
        <v>0</v>
      </c>
      <c r="Q46" s="14">
        <v>6.3</v>
      </c>
      <c r="R46" s="14">
        <v>3.4</v>
      </c>
      <c r="S46" s="14">
        <v>0</v>
      </c>
      <c r="T46" s="14">
        <v>0.3</v>
      </c>
      <c r="U46" s="14">
        <v>10</v>
      </c>
      <c r="V46" s="14">
        <v>0</v>
      </c>
      <c r="W46" s="14">
        <v>6.3</v>
      </c>
      <c r="X46" s="14">
        <v>3.4</v>
      </c>
      <c r="Y46" s="14">
        <v>0</v>
      </c>
      <c r="Z46" s="14">
        <v>0.3</v>
      </c>
      <c r="AA46" s="14">
        <v>10</v>
      </c>
      <c r="AB46" s="14">
        <v>6.3</v>
      </c>
      <c r="AC46" s="14">
        <v>0</v>
      </c>
      <c r="AD46" s="14">
        <v>3.4</v>
      </c>
      <c r="AE46" s="14">
        <v>0</v>
      </c>
      <c r="AF46" s="14">
        <v>0.3</v>
      </c>
    </row>
    <row r="47" spans="1:32" s="30" customFormat="1" ht="63" x14ac:dyDescent="0.25">
      <c r="A47" s="16">
        <v>38</v>
      </c>
      <c r="B47" s="17" t="s">
        <v>131</v>
      </c>
      <c r="C47" s="18">
        <v>48</v>
      </c>
      <c r="D47" s="18">
        <v>0</v>
      </c>
      <c r="E47" s="18">
        <v>48</v>
      </c>
      <c r="F47" s="18">
        <v>0</v>
      </c>
      <c r="G47" s="18">
        <v>0</v>
      </c>
      <c r="H47" s="18">
        <v>0</v>
      </c>
      <c r="I47" s="18">
        <v>48</v>
      </c>
      <c r="J47" s="18">
        <v>0</v>
      </c>
      <c r="K47" s="18">
        <v>48</v>
      </c>
      <c r="L47" s="18">
        <v>0</v>
      </c>
      <c r="M47" s="18">
        <v>0</v>
      </c>
      <c r="N47" s="18">
        <v>0</v>
      </c>
      <c r="O47" s="19">
        <v>48</v>
      </c>
      <c r="P47" s="19">
        <v>0</v>
      </c>
      <c r="Q47" s="19">
        <v>48</v>
      </c>
      <c r="R47" s="19">
        <v>0</v>
      </c>
      <c r="S47" s="19">
        <v>0</v>
      </c>
      <c r="T47" s="19">
        <v>0</v>
      </c>
      <c r="U47" s="19">
        <v>48</v>
      </c>
      <c r="V47" s="19" t="s">
        <v>77</v>
      </c>
      <c r="W47" s="19">
        <v>48</v>
      </c>
      <c r="X47" s="19">
        <v>0</v>
      </c>
      <c r="Y47" s="19">
        <v>0</v>
      </c>
      <c r="Z47" s="19">
        <v>0</v>
      </c>
      <c r="AA47" s="19">
        <v>48</v>
      </c>
      <c r="AB47" s="19">
        <v>0</v>
      </c>
      <c r="AC47" s="19">
        <v>48</v>
      </c>
      <c r="AD47" s="19">
        <v>0</v>
      </c>
      <c r="AE47" s="19">
        <v>0</v>
      </c>
      <c r="AF47" s="19">
        <v>0</v>
      </c>
    </row>
    <row r="48" spans="1:32" ht="63" x14ac:dyDescent="0.25">
      <c r="A48" s="11">
        <v>39</v>
      </c>
      <c r="B48" s="12" t="s">
        <v>22</v>
      </c>
      <c r="C48" s="13">
        <v>2455</v>
      </c>
      <c r="D48" s="13">
        <v>2350</v>
      </c>
      <c r="E48" s="13">
        <v>0</v>
      </c>
      <c r="F48" s="13">
        <v>105</v>
      </c>
      <c r="G48" s="13">
        <v>0</v>
      </c>
      <c r="H48" s="13">
        <v>0</v>
      </c>
      <c r="I48" s="13">
        <v>7580</v>
      </c>
      <c r="J48" s="13">
        <v>7450</v>
      </c>
      <c r="K48" s="13">
        <v>0</v>
      </c>
      <c r="L48" s="13">
        <v>130</v>
      </c>
      <c r="M48" s="13">
        <v>0</v>
      </c>
      <c r="N48" s="13">
        <v>0</v>
      </c>
      <c r="O48" s="14">
        <v>9580</v>
      </c>
      <c r="P48" s="14">
        <v>8950</v>
      </c>
      <c r="Q48" s="14">
        <v>0</v>
      </c>
      <c r="R48" s="14">
        <v>630</v>
      </c>
      <c r="S48" s="14">
        <v>0</v>
      </c>
      <c r="T48" s="14">
        <v>0</v>
      </c>
      <c r="U48" s="14">
        <v>12930</v>
      </c>
      <c r="V48" s="14">
        <v>10000</v>
      </c>
      <c r="W48" s="14">
        <v>0</v>
      </c>
      <c r="X48" s="14">
        <v>2930</v>
      </c>
      <c r="Y48" s="14">
        <v>0</v>
      </c>
      <c r="Z48" s="14">
        <v>0</v>
      </c>
      <c r="AA48" s="14">
        <v>14211.43</v>
      </c>
      <c r="AB48" s="14">
        <v>10000</v>
      </c>
      <c r="AC48" s="14">
        <v>0</v>
      </c>
      <c r="AD48" s="14">
        <v>4211.43</v>
      </c>
      <c r="AE48" s="14">
        <v>0</v>
      </c>
      <c r="AF48" s="14">
        <v>0</v>
      </c>
    </row>
    <row r="49" spans="1:32" s="30" customFormat="1" ht="78.75" x14ac:dyDescent="0.25">
      <c r="A49" s="26">
        <v>40</v>
      </c>
      <c r="B49" s="17" t="s">
        <v>23</v>
      </c>
      <c r="C49" s="18">
        <v>20</v>
      </c>
      <c r="D49" s="18">
        <v>10</v>
      </c>
      <c r="E49" s="18">
        <v>0</v>
      </c>
      <c r="F49" s="18">
        <v>10</v>
      </c>
      <c r="G49" s="27">
        <v>0</v>
      </c>
      <c r="H49" s="18">
        <v>0</v>
      </c>
      <c r="I49" s="18">
        <v>80</v>
      </c>
      <c r="J49" s="18">
        <v>40</v>
      </c>
      <c r="K49" s="18">
        <v>0</v>
      </c>
      <c r="L49" s="18">
        <v>40</v>
      </c>
      <c r="M49" s="18">
        <v>0</v>
      </c>
      <c r="N49" s="18">
        <v>0</v>
      </c>
      <c r="O49" s="19">
        <v>85.42</v>
      </c>
      <c r="P49" s="19">
        <v>42.71</v>
      </c>
      <c r="Q49" s="19">
        <v>0</v>
      </c>
      <c r="R49" s="19">
        <v>42.71</v>
      </c>
      <c r="S49" s="19">
        <v>0</v>
      </c>
      <c r="T49" s="19">
        <v>0</v>
      </c>
      <c r="U49" s="19">
        <v>100</v>
      </c>
      <c r="V49" s="19">
        <v>50</v>
      </c>
      <c r="W49" s="19">
        <v>0</v>
      </c>
      <c r="X49" s="19">
        <v>50</v>
      </c>
      <c r="Y49" s="19">
        <v>0</v>
      </c>
      <c r="Z49" s="19">
        <v>0</v>
      </c>
      <c r="AA49" s="19">
        <v>321.56</v>
      </c>
      <c r="AB49" s="19">
        <v>160.78</v>
      </c>
      <c r="AC49" s="19">
        <v>0</v>
      </c>
      <c r="AD49" s="19">
        <v>160.78</v>
      </c>
      <c r="AE49" s="19">
        <v>0</v>
      </c>
      <c r="AF49" s="19"/>
    </row>
    <row r="50" spans="1:32" ht="15.75" x14ac:dyDescent="0.25">
      <c r="A50" s="11"/>
      <c r="B50" s="15" t="s">
        <v>18</v>
      </c>
      <c r="C50" s="35">
        <f>SUM(C45:C49)</f>
        <v>2574.6999999999998</v>
      </c>
      <c r="D50" s="35">
        <f t="shared" ref="D50:AF50" si="2">SUM(D45:D49)</f>
        <v>2385.8000000000002</v>
      </c>
      <c r="E50" s="35">
        <f t="shared" si="2"/>
        <v>73.86</v>
      </c>
      <c r="F50" s="35">
        <f t="shared" si="2"/>
        <v>115.04</v>
      </c>
      <c r="G50" s="35">
        <f t="shared" si="2"/>
        <v>0</v>
      </c>
      <c r="H50" s="35">
        <f t="shared" si="2"/>
        <v>0</v>
      </c>
      <c r="I50" s="35">
        <f t="shared" si="2"/>
        <v>7798</v>
      </c>
      <c r="J50" s="35">
        <f t="shared" si="2"/>
        <v>7530</v>
      </c>
      <c r="K50" s="35">
        <f t="shared" si="2"/>
        <v>94.3</v>
      </c>
      <c r="L50" s="35">
        <f t="shared" si="2"/>
        <v>173.4</v>
      </c>
      <c r="M50" s="35">
        <f t="shared" si="2"/>
        <v>0</v>
      </c>
      <c r="N50" s="35">
        <f t="shared" si="2"/>
        <v>0.3</v>
      </c>
      <c r="O50" s="35">
        <f t="shared" si="2"/>
        <v>9923.42</v>
      </c>
      <c r="P50" s="35">
        <f t="shared" si="2"/>
        <v>9092.7099999999991</v>
      </c>
      <c r="Q50" s="35">
        <f t="shared" si="2"/>
        <v>154.30000000000001</v>
      </c>
      <c r="R50" s="35">
        <f t="shared" si="2"/>
        <v>676.11</v>
      </c>
      <c r="S50" s="35">
        <f t="shared" si="2"/>
        <v>0</v>
      </c>
      <c r="T50" s="35">
        <f t="shared" si="2"/>
        <v>0.3</v>
      </c>
      <c r="U50" s="35">
        <f t="shared" si="2"/>
        <v>13288</v>
      </c>
      <c r="V50" s="35">
        <f t="shared" si="2"/>
        <v>10150</v>
      </c>
      <c r="W50" s="35">
        <f t="shared" si="2"/>
        <v>154.30000000000001</v>
      </c>
      <c r="X50" s="35">
        <f t="shared" si="2"/>
        <v>2983.4</v>
      </c>
      <c r="Y50" s="35">
        <f t="shared" si="2"/>
        <v>0</v>
      </c>
      <c r="Z50" s="35">
        <f t="shared" si="2"/>
        <v>0.3</v>
      </c>
      <c r="AA50" s="35">
        <f>SUM(AA45:AA49)</f>
        <v>14790.99</v>
      </c>
      <c r="AB50" s="35">
        <f t="shared" si="2"/>
        <v>10267.08</v>
      </c>
      <c r="AC50" s="35">
        <f t="shared" si="2"/>
        <v>148</v>
      </c>
      <c r="AD50" s="35">
        <f t="shared" si="2"/>
        <v>4375.6099999999997</v>
      </c>
      <c r="AE50" s="35">
        <f t="shared" si="2"/>
        <v>0</v>
      </c>
      <c r="AF50" s="35">
        <f t="shared" si="2"/>
        <v>0.3</v>
      </c>
    </row>
    <row r="51" spans="1:32" s="30" customFormat="1" ht="15.75" x14ac:dyDescent="0.25">
      <c r="A51" s="179" t="s">
        <v>51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1"/>
    </row>
    <row r="52" spans="1:32" ht="47.25" x14ac:dyDescent="0.25">
      <c r="A52" s="38">
        <v>41</v>
      </c>
      <c r="B52" s="12" t="s">
        <v>24</v>
      </c>
      <c r="C52" s="13">
        <v>713.72</v>
      </c>
      <c r="D52" s="13">
        <v>86.36</v>
      </c>
      <c r="E52" s="13">
        <v>263.72000000000003</v>
      </c>
      <c r="F52" s="13">
        <v>183.85</v>
      </c>
      <c r="G52" s="13">
        <v>92.93</v>
      </c>
      <c r="H52" s="13">
        <v>86.86</v>
      </c>
      <c r="I52" s="13">
        <v>1063.3599999999999</v>
      </c>
      <c r="J52" s="13">
        <v>94.32</v>
      </c>
      <c r="K52" s="13">
        <v>588.25</v>
      </c>
      <c r="L52" s="13">
        <v>200.87</v>
      </c>
      <c r="M52" s="13">
        <v>92.94</v>
      </c>
      <c r="N52" s="13">
        <v>86.98</v>
      </c>
      <c r="O52" s="14">
        <v>1187.3699999999999</v>
      </c>
      <c r="P52" s="14">
        <v>138.57</v>
      </c>
      <c r="Q52" s="14">
        <v>668.13</v>
      </c>
      <c r="R52" s="14">
        <v>200.9</v>
      </c>
      <c r="S52" s="14">
        <v>92.97</v>
      </c>
      <c r="T52" s="14">
        <v>86.8</v>
      </c>
      <c r="U52" s="14">
        <v>1300</v>
      </c>
      <c r="V52" s="14">
        <v>138.58000000000001</v>
      </c>
      <c r="W52" s="14">
        <v>726.83</v>
      </c>
      <c r="X52" s="14">
        <v>237.77</v>
      </c>
      <c r="Y52" s="14">
        <v>109.98</v>
      </c>
      <c r="Z52" s="14">
        <v>86.84</v>
      </c>
      <c r="AA52" s="14">
        <v>1300</v>
      </c>
      <c r="AB52" s="14">
        <v>138.58000000000001</v>
      </c>
      <c r="AC52" s="14">
        <v>726.83</v>
      </c>
      <c r="AD52" s="14">
        <v>237.77</v>
      </c>
      <c r="AE52" s="14">
        <v>109.98</v>
      </c>
      <c r="AF52" s="14">
        <v>86.84</v>
      </c>
    </row>
    <row r="53" spans="1:32" s="30" customFormat="1" ht="47.25" x14ac:dyDescent="0.25">
      <c r="A53" s="16">
        <v>42</v>
      </c>
      <c r="B53" s="17" t="s">
        <v>116</v>
      </c>
      <c r="C53" s="18">
        <v>155.1</v>
      </c>
      <c r="D53" s="18">
        <v>0</v>
      </c>
      <c r="E53" s="18">
        <v>55</v>
      </c>
      <c r="F53" s="18">
        <v>35.71</v>
      </c>
      <c r="G53" s="18">
        <v>23.53</v>
      </c>
      <c r="H53" s="18">
        <v>40.86</v>
      </c>
      <c r="I53" s="18">
        <v>155.1</v>
      </c>
      <c r="J53" s="18">
        <v>0</v>
      </c>
      <c r="K53" s="18">
        <v>55</v>
      </c>
      <c r="L53" s="18">
        <v>35.71</v>
      </c>
      <c r="M53" s="18">
        <v>23.53</v>
      </c>
      <c r="N53" s="18">
        <v>40.86</v>
      </c>
      <c r="O53" s="19">
        <v>155.1</v>
      </c>
      <c r="P53" s="18">
        <v>0</v>
      </c>
      <c r="Q53" s="18">
        <v>55</v>
      </c>
      <c r="R53" s="18">
        <v>35.71</v>
      </c>
      <c r="S53" s="18">
        <v>23.53</v>
      </c>
      <c r="T53" s="18">
        <v>40.86</v>
      </c>
      <c r="U53" s="19">
        <v>155.12</v>
      </c>
      <c r="V53" s="19">
        <v>0</v>
      </c>
      <c r="W53" s="19">
        <v>54.29</v>
      </c>
      <c r="X53" s="19">
        <v>37.229999999999997</v>
      </c>
      <c r="Y53" s="19">
        <v>23.27</v>
      </c>
      <c r="Z53" s="19">
        <v>40.33</v>
      </c>
      <c r="AA53" s="20">
        <v>155.12</v>
      </c>
      <c r="AB53" s="19">
        <v>0</v>
      </c>
      <c r="AC53" s="19">
        <v>54.29</v>
      </c>
      <c r="AD53" s="19">
        <v>37.229999999999997</v>
      </c>
      <c r="AE53" s="19">
        <v>23.27</v>
      </c>
      <c r="AF53" s="19">
        <v>40.33</v>
      </c>
    </row>
    <row r="54" spans="1:32" ht="47.25" x14ac:dyDescent="0.25">
      <c r="A54" s="11">
        <v>43</v>
      </c>
      <c r="B54" s="12" t="s">
        <v>132</v>
      </c>
      <c r="C54" s="13">
        <v>625</v>
      </c>
      <c r="D54" s="13">
        <v>40</v>
      </c>
      <c r="E54" s="13">
        <v>436</v>
      </c>
      <c r="F54" s="13">
        <v>35</v>
      </c>
      <c r="G54" s="13">
        <v>0</v>
      </c>
      <c r="H54" s="13">
        <v>114</v>
      </c>
      <c r="I54" s="13">
        <v>625</v>
      </c>
      <c r="J54" s="13">
        <v>40</v>
      </c>
      <c r="K54" s="13">
        <v>436</v>
      </c>
      <c r="L54" s="13">
        <v>35</v>
      </c>
      <c r="M54" s="13">
        <v>0</v>
      </c>
      <c r="N54" s="13">
        <v>114</v>
      </c>
      <c r="O54" s="14">
        <v>625</v>
      </c>
      <c r="P54" s="13">
        <v>40</v>
      </c>
      <c r="Q54" s="13">
        <v>436</v>
      </c>
      <c r="R54" s="13">
        <v>35</v>
      </c>
      <c r="S54" s="13">
        <v>0</v>
      </c>
      <c r="T54" s="13">
        <v>114</v>
      </c>
      <c r="U54" s="14">
        <v>625</v>
      </c>
      <c r="V54" s="13">
        <v>40</v>
      </c>
      <c r="W54" s="13">
        <v>436</v>
      </c>
      <c r="X54" s="13">
        <v>35</v>
      </c>
      <c r="Y54" s="13">
        <v>0</v>
      </c>
      <c r="Z54" s="13">
        <v>114</v>
      </c>
      <c r="AA54" s="14">
        <v>625</v>
      </c>
      <c r="AB54" s="13">
        <v>40</v>
      </c>
      <c r="AC54" s="13">
        <v>436</v>
      </c>
      <c r="AD54" s="13">
        <v>35</v>
      </c>
      <c r="AE54" s="13">
        <v>0</v>
      </c>
      <c r="AF54" s="13">
        <v>114</v>
      </c>
    </row>
    <row r="55" spans="1:32" s="30" customFormat="1" ht="31.5" x14ac:dyDescent="0.25">
      <c r="A55" s="16">
        <v>44</v>
      </c>
      <c r="B55" s="17" t="s">
        <v>25</v>
      </c>
      <c r="C55" s="18">
        <v>250</v>
      </c>
      <c r="D55" s="18">
        <v>65</v>
      </c>
      <c r="E55" s="18">
        <v>125</v>
      </c>
      <c r="F55" s="18">
        <v>0</v>
      </c>
      <c r="G55" s="18">
        <v>0</v>
      </c>
      <c r="H55" s="18">
        <v>60</v>
      </c>
      <c r="I55" s="18">
        <v>250</v>
      </c>
      <c r="J55" s="18">
        <v>65</v>
      </c>
      <c r="K55" s="18">
        <v>125</v>
      </c>
      <c r="L55" s="18">
        <v>0</v>
      </c>
      <c r="M55" s="18">
        <v>0</v>
      </c>
      <c r="N55" s="18">
        <v>60</v>
      </c>
      <c r="O55" s="19">
        <v>250</v>
      </c>
      <c r="P55" s="18">
        <v>65</v>
      </c>
      <c r="Q55" s="18">
        <v>125</v>
      </c>
      <c r="R55" s="18">
        <v>0</v>
      </c>
      <c r="S55" s="18">
        <v>0</v>
      </c>
      <c r="T55" s="18">
        <v>60</v>
      </c>
      <c r="U55" s="19">
        <v>250</v>
      </c>
      <c r="V55" s="18">
        <v>65</v>
      </c>
      <c r="W55" s="18">
        <v>125</v>
      </c>
      <c r="X55" s="18">
        <v>0</v>
      </c>
      <c r="Y55" s="18">
        <v>0</v>
      </c>
      <c r="Z55" s="18">
        <v>60</v>
      </c>
      <c r="AA55" s="19">
        <v>250</v>
      </c>
      <c r="AB55" s="18">
        <v>65</v>
      </c>
      <c r="AC55" s="18">
        <v>125</v>
      </c>
      <c r="AD55" s="18">
        <v>0</v>
      </c>
      <c r="AE55" s="18">
        <v>0</v>
      </c>
      <c r="AF55" s="18">
        <v>60</v>
      </c>
    </row>
    <row r="56" spans="1:32" ht="31.5" x14ac:dyDescent="0.25">
      <c r="A56" s="11">
        <v>45</v>
      </c>
      <c r="B56" s="12" t="s">
        <v>26</v>
      </c>
      <c r="C56" s="13">
        <v>600</v>
      </c>
      <c r="D56" s="13">
        <v>0</v>
      </c>
      <c r="E56" s="13">
        <v>345</v>
      </c>
      <c r="F56" s="13">
        <v>132</v>
      </c>
      <c r="G56" s="13">
        <v>63</v>
      </c>
      <c r="H56" s="13">
        <v>60</v>
      </c>
      <c r="I56" s="13">
        <v>600</v>
      </c>
      <c r="J56" s="13">
        <v>0</v>
      </c>
      <c r="K56" s="13">
        <v>345</v>
      </c>
      <c r="L56" s="13">
        <v>132</v>
      </c>
      <c r="M56" s="13">
        <v>63</v>
      </c>
      <c r="N56" s="13">
        <v>60</v>
      </c>
      <c r="O56" s="14">
        <v>600.05999999999995</v>
      </c>
      <c r="P56" s="14">
        <v>0</v>
      </c>
      <c r="Q56" s="14">
        <v>354.48</v>
      </c>
      <c r="R56" s="14">
        <v>134.58000000000001</v>
      </c>
      <c r="S56" s="14">
        <v>64.739999999999995</v>
      </c>
      <c r="T56" s="14">
        <v>46.26</v>
      </c>
      <c r="U56" s="14">
        <v>783.77</v>
      </c>
      <c r="V56" s="14">
        <v>0</v>
      </c>
      <c r="W56" s="14">
        <v>460.03</v>
      </c>
      <c r="X56" s="14">
        <v>179.7</v>
      </c>
      <c r="Y56" s="14">
        <v>84.01</v>
      </c>
      <c r="Z56" s="14">
        <v>60.03</v>
      </c>
      <c r="AA56" s="14">
        <v>798.97</v>
      </c>
      <c r="AB56" s="14">
        <v>0</v>
      </c>
      <c r="AC56" s="14">
        <v>470.65</v>
      </c>
      <c r="AD56" s="14">
        <v>177.6</v>
      </c>
      <c r="AE56" s="14">
        <v>90.72</v>
      </c>
      <c r="AF56" s="14">
        <v>60</v>
      </c>
    </row>
    <row r="57" spans="1:32" s="30" customFormat="1" ht="47.25" x14ac:dyDescent="0.25">
      <c r="A57" s="16">
        <v>46</v>
      </c>
      <c r="B57" s="17" t="s">
        <v>27</v>
      </c>
      <c r="C57" s="18">
        <v>196</v>
      </c>
      <c r="D57" s="18">
        <v>98</v>
      </c>
      <c r="E57" s="18">
        <v>10</v>
      </c>
      <c r="F57" s="18">
        <v>0</v>
      </c>
      <c r="G57" s="18">
        <v>0</v>
      </c>
      <c r="H57" s="18">
        <v>88</v>
      </c>
      <c r="I57" s="18">
        <v>196</v>
      </c>
      <c r="J57" s="18">
        <v>98</v>
      </c>
      <c r="K57" s="18">
        <v>10</v>
      </c>
      <c r="L57" s="18">
        <v>0</v>
      </c>
      <c r="M57" s="18">
        <v>0</v>
      </c>
      <c r="N57" s="18">
        <v>88</v>
      </c>
      <c r="O57" s="19">
        <v>196</v>
      </c>
      <c r="P57" s="18">
        <v>98</v>
      </c>
      <c r="Q57" s="18">
        <v>10</v>
      </c>
      <c r="R57" s="18">
        <v>0</v>
      </c>
      <c r="S57" s="18">
        <v>0</v>
      </c>
      <c r="T57" s="18">
        <v>88</v>
      </c>
      <c r="U57" s="19">
        <v>196</v>
      </c>
      <c r="V57" s="18">
        <v>98</v>
      </c>
      <c r="W57" s="18">
        <v>10</v>
      </c>
      <c r="X57" s="18">
        <v>0</v>
      </c>
      <c r="Y57" s="18">
        <v>0</v>
      </c>
      <c r="Z57" s="18">
        <v>88</v>
      </c>
      <c r="AA57" s="19">
        <v>196</v>
      </c>
      <c r="AB57" s="18">
        <v>98</v>
      </c>
      <c r="AC57" s="18">
        <v>10</v>
      </c>
      <c r="AD57" s="18">
        <v>0</v>
      </c>
      <c r="AE57" s="18">
        <v>0</v>
      </c>
      <c r="AF57" s="18">
        <v>88</v>
      </c>
    </row>
    <row r="58" spans="1:32" ht="47.25" x14ac:dyDescent="0.25">
      <c r="A58" s="11">
        <v>47</v>
      </c>
      <c r="B58" s="12" t="s">
        <v>28</v>
      </c>
      <c r="C58" s="13">
        <v>112</v>
      </c>
      <c r="D58" s="13">
        <v>55</v>
      </c>
      <c r="E58" s="13">
        <v>0</v>
      </c>
      <c r="F58" s="13">
        <v>28</v>
      </c>
      <c r="G58" s="13">
        <v>19</v>
      </c>
      <c r="H58" s="13">
        <v>10</v>
      </c>
      <c r="I58" s="13">
        <v>112</v>
      </c>
      <c r="J58" s="13">
        <v>55</v>
      </c>
      <c r="K58" s="13">
        <v>0</v>
      </c>
      <c r="L58" s="13">
        <v>28</v>
      </c>
      <c r="M58" s="13">
        <v>19</v>
      </c>
      <c r="N58" s="13">
        <v>10</v>
      </c>
      <c r="O58" s="14">
        <v>112</v>
      </c>
      <c r="P58" s="13">
        <v>55</v>
      </c>
      <c r="Q58" s="13">
        <v>0</v>
      </c>
      <c r="R58" s="13">
        <v>28</v>
      </c>
      <c r="S58" s="13">
        <v>19</v>
      </c>
      <c r="T58" s="13">
        <v>10</v>
      </c>
      <c r="U58" s="14">
        <v>112</v>
      </c>
      <c r="V58" s="13">
        <v>55</v>
      </c>
      <c r="W58" s="13">
        <v>0</v>
      </c>
      <c r="X58" s="13">
        <v>28</v>
      </c>
      <c r="Y58" s="13">
        <v>19</v>
      </c>
      <c r="Z58" s="13">
        <v>10</v>
      </c>
      <c r="AA58" s="14">
        <v>112</v>
      </c>
      <c r="AB58" s="13">
        <v>55</v>
      </c>
      <c r="AC58" s="13">
        <v>0</v>
      </c>
      <c r="AD58" s="13">
        <v>28</v>
      </c>
      <c r="AE58" s="13">
        <v>19</v>
      </c>
      <c r="AF58" s="13">
        <v>10</v>
      </c>
    </row>
    <row r="59" spans="1:32" s="30" customFormat="1" ht="15.75" x14ac:dyDescent="0.25">
      <c r="A59" s="182" t="s">
        <v>18</v>
      </c>
      <c r="B59" s="183"/>
      <c r="C59" s="21">
        <f>SUM(C52:C58)</f>
        <v>2651.82</v>
      </c>
      <c r="D59" s="21">
        <f t="shared" ref="D59:AF59" si="3">SUM(D52:D58)</f>
        <v>344.36</v>
      </c>
      <c r="E59" s="21">
        <f t="shared" si="3"/>
        <v>1234.72</v>
      </c>
      <c r="F59" s="21">
        <f t="shared" si="3"/>
        <v>414.56</v>
      </c>
      <c r="G59" s="21">
        <f t="shared" si="3"/>
        <v>198.46</v>
      </c>
      <c r="H59" s="21">
        <f t="shared" si="3"/>
        <v>459.72</v>
      </c>
      <c r="I59" s="21">
        <f t="shared" si="3"/>
        <v>3001.46</v>
      </c>
      <c r="J59" s="21">
        <f t="shared" si="3"/>
        <v>352.32</v>
      </c>
      <c r="K59" s="21">
        <f t="shared" si="3"/>
        <v>1559.25</v>
      </c>
      <c r="L59" s="21">
        <f t="shared" si="3"/>
        <v>431.58000000000004</v>
      </c>
      <c r="M59" s="21">
        <f t="shared" si="3"/>
        <v>198.47</v>
      </c>
      <c r="N59" s="21">
        <f t="shared" si="3"/>
        <v>459.84000000000003</v>
      </c>
      <c r="O59" s="21">
        <f t="shared" si="3"/>
        <v>3125.5299999999997</v>
      </c>
      <c r="P59" s="21">
        <f t="shared" si="3"/>
        <v>396.57</v>
      </c>
      <c r="Q59" s="21">
        <f t="shared" si="3"/>
        <v>1648.6100000000001</v>
      </c>
      <c r="R59" s="21">
        <f t="shared" si="3"/>
        <v>434.19000000000005</v>
      </c>
      <c r="S59" s="21">
        <f t="shared" si="3"/>
        <v>200.24</v>
      </c>
      <c r="T59" s="21">
        <f t="shared" si="3"/>
        <v>445.91999999999996</v>
      </c>
      <c r="U59" s="21">
        <f t="shared" si="3"/>
        <v>3421.89</v>
      </c>
      <c r="V59" s="21">
        <f t="shared" si="3"/>
        <v>396.58000000000004</v>
      </c>
      <c r="W59" s="21">
        <f t="shared" si="3"/>
        <v>1812.1499999999999</v>
      </c>
      <c r="X59" s="21">
        <f t="shared" si="3"/>
        <v>517.70000000000005</v>
      </c>
      <c r="Y59" s="21">
        <f t="shared" si="3"/>
        <v>236.26</v>
      </c>
      <c r="Z59" s="21">
        <f t="shared" si="3"/>
        <v>459.20000000000005</v>
      </c>
      <c r="AA59" s="21">
        <f t="shared" si="3"/>
        <v>3437.09</v>
      </c>
      <c r="AB59" s="21">
        <f>SUM(AB52:AB58)</f>
        <v>396.58000000000004</v>
      </c>
      <c r="AC59" s="21">
        <f>SUM(AC52:AC58)</f>
        <v>1822.77</v>
      </c>
      <c r="AD59" s="21">
        <f t="shared" si="3"/>
        <v>515.6</v>
      </c>
      <c r="AE59" s="21">
        <f t="shared" si="3"/>
        <v>242.97</v>
      </c>
      <c r="AF59" s="21">
        <f t="shared" si="3"/>
        <v>459.17</v>
      </c>
    </row>
    <row r="60" spans="1:32" ht="15.75" x14ac:dyDescent="0.25">
      <c r="A60" s="184" t="s">
        <v>29</v>
      </c>
      <c r="B60" s="185"/>
      <c r="C60" s="35">
        <f t="shared" ref="C60:AF60" si="4">C23+C43+C50+C59</f>
        <v>36715.249999999993</v>
      </c>
      <c r="D60" s="35">
        <f t="shared" si="4"/>
        <v>32411.749999999993</v>
      </c>
      <c r="E60" s="35">
        <f t="shared" si="4"/>
        <v>2216.21</v>
      </c>
      <c r="F60" s="35">
        <f t="shared" si="4"/>
        <v>1132.03</v>
      </c>
      <c r="G60" s="35">
        <f t="shared" si="4"/>
        <v>322.46000000000004</v>
      </c>
      <c r="H60" s="35">
        <f t="shared" si="4"/>
        <v>632.79999999999995</v>
      </c>
      <c r="I60" s="35">
        <f t="shared" si="4"/>
        <v>48289.499999999993</v>
      </c>
      <c r="J60" s="35">
        <f t="shared" si="4"/>
        <v>43103.420000000006</v>
      </c>
      <c r="K60" s="35">
        <f t="shared" si="4"/>
        <v>2681.0699999999997</v>
      </c>
      <c r="L60" s="35">
        <f t="shared" si="4"/>
        <v>1230.9399999999991</v>
      </c>
      <c r="M60" s="35">
        <f t="shared" si="4"/>
        <v>322.47000000000003</v>
      </c>
      <c r="N60" s="35">
        <f t="shared" si="4"/>
        <v>951.6</v>
      </c>
      <c r="O60" s="35">
        <f t="shared" si="4"/>
        <v>51956.52</v>
      </c>
      <c r="P60" s="35">
        <f t="shared" si="4"/>
        <v>43901.439999999988</v>
      </c>
      <c r="Q60" s="35">
        <f t="shared" si="4"/>
        <v>2848.33</v>
      </c>
      <c r="R60" s="35">
        <f t="shared" si="4"/>
        <v>1827.75</v>
      </c>
      <c r="S60" s="35">
        <f t="shared" si="4"/>
        <v>324.24</v>
      </c>
      <c r="T60" s="35">
        <f t="shared" si="4"/>
        <v>3054.76</v>
      </c>
      <c r="U60" s="35">
        <f t="shared" si="4"/>
        <v>58005.389999999992</v>
      </c>
      <c r="V60" s="35">
        <f t="shared" si="4"/>
        <v>47203.989999999991</v>
      </c>
      <c r="W60" s="35">
        <f t="shared" si="4"/>
        <v>3071.2699999999995</v>
      </c>
      <c r="X60" s="35">
        <f t="shared" si="4"/>
        <v>4279.51</v>
      </c>
      <c r="Y60" s="35">
        <f t="shared" si="4"/>
        <v>360.26</v>
      </c>
      <c r="Z60" s="35">
        <f t="shared" si="4"/>
        <v>3090.3600000000006</v>
      </c>
      <c r="AA60" s="35">
        <f t="shared" si="4"/>
        <v>61351.33</v>
      </c>
      <c r="AB60" s="35">
        <f>AB23+AB43+AB50+AB59</f>
        <v>49027.289999999994</v>
      </c>
      <c r="AC60" s="35">
        <f t="shared" si="4"/>
        <v>3087.7</v>
      </c>
      <c r="AD60" s="35">
        <f t="shared" si="4"/>
        <v>5769.84</v>
      </c>
      <c r="AE60" s="35">
        <f t="shared" si="4"/>
        <v>366.97</v>
      </c>
      <c r="AF60" s="35">
        <f t="shared" si="4"/>
        <v>3099.53</v>
      </c>
    </row>
  </sheetData>
  <mergeCells count="41">
    <mergeCell ref="O39:T39"/>
    <mergeCell ref="U39:Z39"/>
    <mergeCell ref="I37:N37"/>
    <mergeCell ref="U36:Z36"/>
    <mergeCell ref="U15:Z15"/>
    <mergeCell ref="O36:T36"/>
    <mergeCell ref="A5:AF5"/>
    <mergeCell ref="A24:AF24"/>
    <mergeCell ref="C35:H35"/>
    <mergeCell ref="I35:N35"/>
    <mergeCell ref="AA15:AF15"/>
    <mergeCell ref="O35:T35"/>
    <mergeCell ref="U17:Z17"/>
    <mergeCell ref="AA17:AF17"/>
    <mergeCell ref="C22:AF22"/>
    <mergeCell ref="C20:AF20"/>
    <mergeCell ref="A1:AF1"/>
    <mergeCell ref="B3:B4"/>
    <mergeCell ref="C3:H3"/>
    <mergeCell ref="I3:N3"/>
    <mergeCell ref="A2:AF2"/>
    <mergeCell ref="AA3:AF3"/>
    <mergeCell ref="U3:Z3"/>
    <mergeCell ref="O3:T3"/>
    <mergeCell ref="A3:A4"/>
    <mergeCell ref="A51:AF51"/>
    <mergeCell ref="A59:B59"/>
    <mergeCell ref="A60:B60"/>
    <mergeCell ref="A43:B43"/>
    <mergeCell ref="A23:B23"/>
    <mergeCell ref="C39:H39"/>
    <mergeCell ref="I39:N39"/>
    <mergeCell ref="C36:H36"/>
    <mergeCell ref="I36:N36"/>
    <mergeCell ref="C38:H38"/>
    <mergeCell ref="I38:N38"/>
    <mergeCell ref="O37:T37"/>
    <mergeCell ref="O38:T38"/>
    <mergeCell ref="U38:Z38"/>
    <mergeCell ref="A44:AF44"/>
    <mergeCell ref="C37:H37"/>
  </mergeCells>
  <pageMargins left="0.2" right="0.2" top="0.25" bottom="0.25" header="0.3" footer="0.3"/>
  <pageSetup paperSize="9" scale="46" fitToHeight="0" orientation="landscape" r:id="rId1"/>
  <headerFooter differentOddEven="1">
    <oddHeader xml:space="preserve">&amp;R&amp;"Times New Roman,Regular"Annexure </oddHeader>
    <oddFooter xml:space="preserve">&amp;L&amp;"Times New Roman,Regular"Report No.   of 2024&amp;R&amp;"Times New Roman,Regular"Page No.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9"/>
  <sheetViews>
    <sheetView view="pageBreakPreview" zoomScaleNormal="115" zoomScaleSheetLayoutView="100" workbookViewId="0">
      <pane ySplit="4" topLeftCell="A35" activePane="bottomLeft" state="frozen"/>
      <selection pane="bottomLeft" activeCell="B42" sqref="B42"/>
    </sheetView>
  </sheetViews>
  <sheetFormatPr defaultColWidth="9.140625" defaultRowHeight="15" x14ac:dyDescent="0.25"/>
  <cols>
    <col min="1" max="1" width="4.28515625" style="40" customWidth="1"/>
    <col min="2" max="2" width="23.28515625" style="39" customWidth="1"/>
    <col min="3" max="3" width="13.28515625" style="39" customWidth="1"/>
    <col min="4" max="4" width="10.5703125" style="39" customWidth="1"/>
    <col min="5" max="5" width="10.85546875" style="39" customWidth="1"/>
    <col min="6" max="7" width="9.140625" style="39" customWidth="1"/>
    <col min="8" max="8" width="11.85546875" style="39" customWidth="1"/>
    <col min="9" max="9" width="12.85546875" style="39" customWidth="1"/>
    <col min="10" max="10" width="11.28515625" style="39" customWidth="1"/>
    <col min="11" max="11" width="12" style="39" customWidth="1"/>
    <col min="12" max="13" width="9.140625" style="39" customWidth="1"/>
    <col min="14" max="14" width="13.7109375" style="39" customWidth="1"/>
    <col min="15" max="15" width="13.28515625" style="39" customWidth="1"/>
    <col min="16" max="16" width="11" style="39" customWidth="1"/>
    <col min="17" max="17" width="11.28515625" style="39" customWidth="1"/>
    <col min="18" max="19" width="9.140625" style="39" customWidth="1"/>
    <col min="20" max="20" width="13.5703125" style="39" customWidth="1"/>
    <col min="21" max="21" width="14.85546875" style="39" customWidth="1"/>
    <col min="22" max="22" width="10.140625" style="39" customWidth="1"/>
    <col min="23" max="23" width="10.85546875" style="39" customWidth="1"/>
    <col min="24" max="25" width="9.140625" style="39" customWidth="1"/>
    <col min="26" max="26" width="14" style="39" customWidth="1"/>
    <col min="27" max="27" width="13.5703125" style="39" customWidth="1"/>
    <col min="28" max="28" width="10.42578125" style="39" customWidth="1"/>
    <col min="29" max="29" width="10.5703125" style="39" customWidth="1"/>
    <col min="30" max="31" width="9.140625" style="39"/>
    <col min="32" max="32" width="13" style="39" customWidth="1"/>
    <col min="33" max="16384" width="9.140625" style="39"/>
  </cols>
  <sheetData>
    <row r="1" spans="1:32" ht="15.75" x14ac:dyDescent="0.25">
      <c r="A1" s="204" t="s">
        <v>190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8" x14ac:dyDescent="0.25">
      <c r="A2" s="203" t="s">
        <v>192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</row>
    <row r="3" spans="1:32" s="41" customFormat="1" x14ac:dyDescent="0.25">
      <c r="A3" s="206" t="s">
        <v>36</v>
      </c>
      <c r="B3" s="205" t="s">
        <v>0</v>
      </c>
      <c r="C3" s="199" t="s">
        <v>1</v>
      </c>
      <c r="D3" s="199"/>
      <c r="E3" s="199"/>
      <c r="F3" s="199"/>
      <c r="G3" s="199"/>
      <c r="H3" s="199"/>
      <c r="I3" s="199" t="s">
        <v>2</v>
      </c>
      <c r="J3" s="199"/>
      <c r="K3" s="199"/>
      <c r="L3" s="199"/>
      <c r="M3" s="199"/>
      <c r="N3" s="199"/>
      <c r="O3" s="199" t="s">
        <v>74</v>
      </c>
      <c r="P3" s="199"/>
      <c r="Q3" s="199"/>
      <c r="R3" s="199"/>
      <c r="S3" s="199"/>
      <c r="T3" s="199"/>
      <c r="U3" s="199" t="s">
        <v>75</v>
      </c>
      <c r="V3" s="199"/>
      <c r="W3" s="199"/>
      <c r="X3" s="199"/>
      <c r="Y3" s="199"/>
      <c r="Z3" s="199"/>
      <c r="AA3" s="199" t="s">
        <v>76</v>
      </c>
      <c r="AB3" s="199"/>
      <c r="AC3" s="199"/>
      <c r="AD3" s="199"/>
      <c r="AE3" s="199"/>
      <c r="AF3" s="199"/>
    </row>
    <row r="4" spans="1:32" x14ac:dyDescent="0.25">
      <c r="A4" s="207"/>
      <c r="B4" s="205"/>
      <c r="C4" s="140" t="s">
        <v>112</v>
      </c>
      <c r="D4" s="140" t="s">
        <v>31</v>
      </c>
      <c r="E4" s="140" t="s">
        <v>111</v>
      </c>
      <c r="F4" s="140" t="s">
        <v>33</v>
      </c>
      <c r="G4" s="141" t="s">
        <v>6</v>
      </c>
      <c r="H4" s="140" t="s">
        <v>34</v>
      </c>
      <c r="I4" s="140" t="s">
        <v>30</v>
      </c>
      <c r="J4" s="140" t="s">
        <v>31</v>
      </c>
      <c r="K4" s="141" t="s">
        <v>32</v>
      </c>
      <c r="L4" s="140" t="s">
        <v>33</v>
      </c>
      <c r="M4" s="140" t="s">
        <v>6</v>
      </c>
      <c r="N4" s="140" t="s">
        <v>34</v>
      </c>
      <c r="O4" s="140" t="s">
        <v>30</v>
      </c>
      <c r="P4" s="140" t="s">
        <v>31</v>
      </c>
      <c r="Q4" s="140" t="s">
        <v>111</v>
      </c>
      <c r="R4" s="140" t="s">
        <v>33</v>
      </c>
      <c r="S4" s="141" t="s">
        <v>6</v>
      </c>
      <c r="T4" s="140" t="s">
        <v>34</v>
      </c>
      <c r="U4" s="140" t="s">
        <v>30</v>
      </c>
      <c r="V4" s="140" t="s">
        <v>31</v>
      </c>
      <c r="W4" s="141" t="s">
        <v>32</v>
      </c>
      <c r="X4" s="140" t="s">
        <v>33</v>
      </c>
      <c r="Y4" s="140" t="s">
        <v>6</v>
      </c>
      <c r="Z4" s="140" t="s">
        <v>34</v>
      </c>
      <c r="AA4" s="140" t="s">
        <v>30</v>
      </c>
      <c r="AB4" s="140" t="s">
        <v>31</v>
      </c>
      <c r="AC4" s="141" t="s">
        <v>32</v>
      </c>
      <c r="AD4" s="140" t="s">
        <v>33</v>
      </c>
      <c r="AE4" s="140" t="s">
        <v>6</v>
      </c>
      <c r="AF4" s="140" t="s">
        <v>34</v>
      </c>
    </row>
    <row r="5" spans="1:32" x14ac:dyDescent="0.25">
      <c r="A5" s="200" t="s">
        <v>133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2"/>
    </row>
    <row r="6" spans="1:32" s="41" customFormat="1" ht="25.5" x14ac:dyDescent="0.25">
      <c r="A6" s="142">
        <v>1</v>
      </c>
      <c r="B6" s="143" t="s">
        <v>139</v>
      </c>
      <c r="C6" s="144">
        <v>15303.48</v>
      </c>
      <c r="D6" s="144">
        <v>0</v>
      </c>
      <c r="E6" s="144">
        <v>0</v>
      </c>
      <c r="F6" s="144">
        <v>0</v>
      </c>
      <c r="G6" s="144">
        <v>0</v>
      </c>
      <c r="H6" s="144">
        <v>15303.48</v>
      </c>
      <c r="I6" s="144">
        <v>22457.22</v>
      </c>
      <c r="J6" s="144">
        <v>0</v>
      </c>
      <c r="K6" s="144">
        <v>0</v>
      </c>
      <c r="L6" s="144">
        <v>0</v>
      </c>
      <c r="M6" s="144">
        <v>0</v>
      </c>
      <c r="N6" s="144">
        <v>22457.22</v>
      </c>
      <c r="O6" s="145">
        <v>27310.49</v>
      </c>
      <c r="P6" s="145">
        <v>0</v>
      </c>
      <c r="Q6" s="145">
        <v>0</v>
      </c>
      <c r="R6" s="145">
        <v>0</v>
      </c>
      <c r="S6" s="145">
        <v>0</v>
      </c>
      <c r="T6" s="145">
        <v>27310.49</v>
      </c>
      <c r="U6" s="145">
        <v>33150.81</v>
      </c>
      <c r="V6" s="145">
        <v>0</v>
      </c>
      <c r="W6" s="145">
        <v>0</v>
      </c>
      <c r="X6" s="145">
        <v>0</v>
      </c>
      <c r="Y6" s="145">
        <v>0</v>
      </c>
      <c r="Z6" s="145">
        <v>33150.81</v>
      </c>
      <c r="AA6" s="144">
        <v>38347.08</v>
      </c>
      <c r="AB6" s="144">
        <v>0</v>
      </c>
      <c r="AC6" s="144">
        <v>0</v>
      </c>
      <c r="AD6" s="144">
        <v>0</v>
      </c>
      <c r="AE6" s="144">
        <v>0</v>
      </c>
      <c r="AF6" s="144">
        <v>38347.08</v>
      </c>
    </row>
    <row r="7" spans="1:32" ht="25.5" x14ac:dyDescent="0.25">
      <c r="A7" s="146">
        <v>2</v>
      </c>
      <c r="B7" s="147" t="s">
        <v>140</v>
      </c>
      <c r="C7" s="148">
        <v>0</v>
      </c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0</v>
      </c>
      <c r="J7" s="148">
        <v>0</v>
      </c>
      <c r="K7" s="148">
        <v>0</v>
      </c>
      <c r="L7" s="148">
        <v>0</v>
      </c>
      <c r="M7" s="148">
        <v>0</v>
      </c>
      <c r="N7" s="148">
        <v>0</v>
      </c>
      <c r="O7" s="149">
        <v>0</v>
      </c>
      <c r="P7" s="149">
        <v>0</v>
      </c>
      <c r="Q7" s="149">
        <v>0</v>
      </c>
      <c r="R7" s="149">
        <v>0</v>
      </c>
      <c r="S7" s="149">
        <v>0</v>
      </c>
      <c r="T7" s="150">
        <v>0</v>
      </c>
      <c r="U7" s="149">
        <v>0</v>
      </c>
      <c r="V7" s="149">
        <v>0</v>
      </c>
      <c r="W7" s="149">
        <v>0</v>
      </c>
      <c r="X7" s="149">
        <v>0</v>
      </c>
      <c r="Y7" s="149">
        <v>0</v>
      </c>
      <c r="Z7" s="149">
        <v>0</v>
      </c>
      <c r="AA7" s="148">
        <v>0</v>
      </c>
      <c r="AB7" s="148">
        <v>0</v>
      </c>
      <c r="AC7" s="148">
        <v>0</v>
      </c>
      <c r="AD7" s="148">
        <v>0</v>
      </c>
      <c r="AE7" s="148">
        <v>0</v>
      </c>
      <c r="AF7" s="148">
        <v>0</v>
      </c>
    </row>
    <row r="8" spans="1:32" s="41" customFormat="1" ht="25.5" x14ac:dyDescent="0.25">
      <c r="A8" s="142">
        <v>3</v>
      </c>
      <c r="B8" s="143" t="s">
        <v>8</v>
      </c>
      <c r="C8" s="144">
        <v>0</v>
      </c>
      <c r="D8" s="144">
        <v>0</v>
      </c>
      <c r="E8" s="144">
        <v>0</v>
      </c>
      <c r="F8" s="144">
        <v>0</v>
      </c>
      <c r="G8" s="144">
        <v>0</v>
      </c>
      <c r="H8" s="144">
        <v>0</v>
      </c>
      <c r="I8" s="144">
        <v>0</v>
      </c>
      <c r="J8" s="144">
        <v>0</v>
      </c>
      <c r="K8" s="144">
        <v>0</v>
      </c>
      <c r="L8" s="144">
        <v>0</v>
      </c>
      <c r="M8" s="144">
        <v>0</v>
      </c>
      <c r="N8" s="144">
        <v>0</v>
      </c>
      <c r="O8" s="145">
        <v>0</v>
      </c>
      <c r="P8" s="145">
        <v>0</v>
      </c>
      <c r="Q8" s="145">
        <v>0</v>
      </c>
      <c r="R8" s="145">
        <v>0</v>
      </c>
      <c r="S8" s="145">
        <v>0</v>
      </c>
      <c r="T8" s="151">
        <v>0</v>
      </c>
      <c r="U8" s="145">
        <v>0</v>
      </c>
      <c r="V8" s="145">
        <v>0</v>
      </c>
      <c r="W8" s="145">
        <v>0</v>
      </c>
      <c r="X8" s="145">
        <v>0</v>
      </c>
      <c r="Y8" s="145">
        <v>0</v>
      </c>
      <c r="Z8" s="145">
        <v>0</v>
      </c>
      <c r="AA8" s="144">
        <v>0</v>
      </c>
      <c r="AB8" s="144">
        <v>0</v>
      </c>
      <c r="AC8" s="144">
        <v>0</v>
      </c>
      <c r="AD8" s="144">
        <v>0</v>
      </c>
      <c r="AE8" s="144">
        <v>0</v>
      </c>
      <c r="AF8" s="144">
        <v>0</v>
      </c>
    </row>
    <row r="9" spans="1:32" ht="25.5" x14ac:dyDescent="0.25">
      <c r="A9" s="146">
        <v>4</v>
      </c>
      <c r="B9" s="147" t="s">
        <v>134</v>
      </c>
      <c r="C9" s="148">
        <v>173932.68</v>
      </c>
      <c r="D9" s="148">
        <v>0</v>
      </c>
      <c r="E9" s="148">
        <v>0</v>
      </c>
      <c r="F9" s="148">
        <v>0</v>
      </c>
      <c r="G9" s="148">
        <v>0</v>
      </c>
      <c r="H9" s="148">
        <v>173932.68</v>
      </c>
      <c r="I9" s="148">
        <v>234376.72999999998</v>
      </c>
      <c r="J9" s="148">
        <v>0</v>
      </c>
      <c r="K9" s="148">
        <v>0</v>
      </c>
      <c r="L9" s="148">
        <v>0</v>
      </c>
      <c r="M9" s="148">
        <v>0</v>
      </c>
      <c r="N9" s="148">
        <v>234376.72999999998</v>
      </c>
      <c r="O9" s="150">
        <v>323110.68000000005</v>
      </c>
      <c r="P9" s="149">
        <v>0</v>
      </c>
      <c r="Q9" s="149">
        <v>0</v>
      </c>
      <c r="R9" s="149">
        <v>0</v>
      </c>
      <c r="S9" s="149">
        <v>0</v>
      </c>
      <c r="T9" s="150">
        <v>323110.68000000005</v>
      </c>
      <c r="U9" s="148">
        <v>388416.62</v>
      </c>
      <c r="V9" s="149">
        <v>0</v>
      </c>
      <c r="W9" s="149">
        <v>0</v>
      </c>
      <c r="X9" s="149">
        <v>0</v>
      </c>
      <c r="Y9" s="149">
        <v>0</v>
      </c>
      <c r="Z9" s="148">
        <v>388416.62</v>
      </c>
      <c r="AA9" s="148">
        <v>418929.25</v>
      </c>
      <c r="AB9" s="148">
        <v>0</v>
      </c>
      <c r="AC9" s="148">
        <v>0</v>
      </c>
      <c r="AD9" s="148">
        <v>0</v>
      </c>
      <c r="AE9" s="148">
        <v>0</v>
      </c>
      <c r="AF9" s="148">
        <v>418929.25</v>
      </c>
    </row>
    <row r="10" spans="1:32" s="41" customFormat="1" x14ac:dyDescent="0.25">
      <c r="A10" s="142">
        <v>5</v>
      </c>
      <c r="B10" s="143" t="s">
        <v>118</v>
      </c>
      <c r="C10" s="144">
        <v>3076.53</v>
      </c>
      <c r="D10" s="144">
        <v>0</v>
      </c>
      <c r="E10" s="144">
        <v>3076.53</v>
      </c>
      <c r="F10" s="144">
        <v>0</v>
      </c>
      <c r="G10" s="144">
        <v>0</v>
      </c>
      <c r="H10" s="144">
        <v>0</v>
      </c>
      <c r="I10" s="144">
        <v>2461.23</v>
      </c>
      <c r="J10" s="144">
        <v>0</v>
      </c>
      <c r="K10" s="144">
        <v>2461.23</v>
      </c>
      <c r="L10" s="144">
        <v>0</v>
      </c>
      <c r="M10" s="144">
        <v>0</v>
      </c>
      <c r="N10" s="144">
        <v>0</v>
      </c>
      <c r="O10" s="145">
        <v>1845.92</v>
      </c>
      <c r="P10" s="145">
        <v>0</v>
      </c>
      <c r="Q10" s="145">
        <v>1845.92</v>
      </c>
      <c r="R10" s="145">
        <v>0</v>
      </c>
      <c r="S10" s="145">
        <v>0</v>
      </c>
      <c r="T10" s="151">
        <v>0</v>
      </c>
      <c r="U10" s="145">
        <v>1230.6199999999999</v>
      </c>
      <c r="V10" s="145">
        <v>0</v>
      </c>
      <c r="W10" s="145">
        <v>1230.6199999999999</v>
      </c>
      <c r="X10" s="145">
        <v>0</v>
      </c>
      <c r="Y10" s="145">
        <v>0</v>
      </c>
      <c r="Z10" s="145">
        <v>0</v>
      </c>
      <c r="AA10" s="144">
        <v>615.30999999999995</v>
      </c>
      <c r="AB10" s="144">
        <v>0</v>
      </c>
      <c r="AC10" s="144">
        <v>615.30999999999995</v>
      </c>
      <c r="AD10" s="144">
        <v>0</v>
      </c>
      <c r="AE10" s="144">
        <v>0</v>
      </c>
      <c r="AF10" s="144">
        <v>0</v>
      </c>
    </row>
    <row r="11" spans="1:32" x14ac:dyDescent="0.25">
      <c r="A11" s="146">
        <v>6</v>
      </c>
      <c r="B11" s="147" t="s">
        <v>11</v>
      </c>
      <c r="C11" s="148">
        <v>3024.2</v>
      </c>
      <c r="D11" s="148">
        <v>0</v>
      </c>
      <c r="E11" s="148">
        <v>3024.2</v>
      </c>
      <c r="F11" s="148">
        <v>0</v>
      </c>
      <c r="G11" s="148">
        <v>0</v>
      </c>
      <c r="H11" s="148">
        <v>0</v>
      </c>
      <c r="I11" s="148">
        <v>4256.6499999999996</v>
      </c>
      <c r="J11" s="148">
        <v>0</v>
      </c>
      <c r="K11" s="148">
        <v>4256.6499999999996</v>
      </c>
      <c r="L11" s="148">
        <v>0</v>
      </c>
      <c r="M11" s="148">
        <v>0</v>
      </c>
      <c r="N11" s="148">
        <v>0</v>
      </c>
      <c r="O11" s="149">
        <v>5671.51</v>
      </c>
      <c r="P11" s="149">
        <v>0</v>
      </c>
      <c r="Q11" s="149">
        <v>5671.51</v>
      </c>
      <c r="R11" s="149">
        <v>0</v>
      </c>
      <c r="S11" s="149">
        <v>0</v>
      </c>
      <c r="T11" s="149">
        <v>0</v>
      </c>
      <c r="U11" s="149">
        <v>6595.38</v>
      </c>
      <c r="V11" s="149">
        <v>0</v>
      </c>
      <c r="W11" s="149">
        <v>6595.38</v>
      </c>
      <c r="X11" s="149">
        <v>0</v>
      </c>
      <c r="Y11" s="149">
        <v>0</v>
      </c>
      <c r="Z11" s="149">
        <v>0</v>
      </c>
      <c r="AA11" s="148">
        <v>6407.87</v>
      </c>
      <c r="AB11" s="148">
        <v>0</v>
      </c>
      <c r="AC11" s="148">
        <v>6407.87</v>
      </c>
      <c r="AD11" s="148">
        <v>0</v>
      </c>
      <c r="AE11" s="148">
        <v>0</v>
      </c>
      <c r="AF11" s="148">
        <v>0</v>
      </c>
    </row>
    <row r="12" spans="1:32" s="41" customFormat="1" ht="25.5" x14ac:dyDescent="0.25">
      <c r="A12" s="142">
        <v>7</v>
      </c>
      <c r="B12" s="143" t="s">
        <v>12</v>
      </c>
      <c r="C12" s="144">
        <v>0</v>
      </c>
      <c r="D12" s="144">
        <v>0</v>
      </c>
      <c r="E12" s="144">
        <v>0</v>
      </c>
      <c r="F12" s="144">
        <v>0</v>
      </c>
      <c r="G12" s="144">
        <v>0</v>
      </c>
      <c r="H12" s="144">
        <v>0</v>
      </c>
      <c r="I12" s="144">
        <v>0</v>
      </c>
      <c r="J12" s="144">
        <v>0</v>
      </c>
      <c r="K12" s="144">
        <v>0</v>
      </c>
      <c r="L12" s="144">
        <v>0</v>
      </c>
      <c r="M12" s="144">
        <v>0</v>
      </c>
      <c r="N12" s="144">
        <v>0</v>
      </c>
      <c r="O12" s="145">
        <v>0</v>
      </c>
      <c r="P12" s="145">
        <v>0</v>
      </c>
      <c r="Q12" s="145">
        <v>0</v>
      </c>
      <c r="R12" s="145">
        <v>0</v>
      </c>
      <c r="S12" s="145">
        <v>0</v>
      </c>
      <c r="T12" s="145">
        <v>0</v>
      </c>
      <c r="U12" s="145">
        <v>0</v>
      </c>
      <c r="V12" s="145">
        <v>0</v>
      </c>
      <c r="W12" s="145">
        <v>0</v>
      </c>
      <c r="X12" s="145">
        <v>0</v>
      </c>
      <c r="Y12" s="145">
        <v>0</v>
      </c>
      <c r="Z12" s="145">
        <v>0</v>
      </c>
      <c r="AA12" s="144">
        <v>0</v>
      </c>
      <c r="AB12" s="144">
        <v>0</v>
      </c>
      <c r="AC12" s="144">
        <v>0</v>
      </c>
      <c r="AD12" s="144">
        <v>0</v>
      </c>
      <c r="AE12" s="144">
        <v>0</v>
      </c>
      <c r="AF12" s="144">
        <v>0</v>
      </c>
    </row>
    <row r="13" spans="1:32" x14ac:dyDescent="0.25">
      <c r="A13" s="146">
        <v>8</v>
      </c>
      <c r="B13" s="147" t="s">
        <v>13</v>
      </c>
      <c r="C13" s="148">
        <v>0</v>
      </c>
      <c r="D13" s="148">
        <v>0</v>
      </c>
      <c r="E13" s="148">
        <v>0</v>
      </c>
      <c r="F13" s="148">
        <v>0</v>
      </c>
      <c r="G13" s="148">
        <v>0</v>
      </c>
      <c r="H13" s="148">
        <v>0</v>
      </c>
      <c r="I13" s="148">
        <v>0</v>
      </c>
      <c r="J13" s="148">
        <v>0</v>
      </c>
      <c r="K13" s="148">
        <v>0</v>
      </c>
      <c r="L13" s="148">
        <v>0</v>
      </c>
      <c r="M13" s="148">
        <v>0</v>
      </c>
      <c r="N13" s="148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0</v>
      </c>
      <c r="T13" s="149">
        <v>0</v>
      </c>
      <c r="U13" s="149">
        <v>0</v>
      </c>
      <c r="V13" s="149">
        <v>0</v>
      </c>
      <c r="W13" s="149">
        <v>0</v>
      </c>
      <c r="X13" s="149">
        <v>0</v>
      </c>
      <c r="Y13" s="149">
        <v>0</v>
      </c>
      <c r="Z13" s="149">
        <v>0</v>
      </c>
      <c r="AA13" s="148">
        <v>0</v>
      </c>
      <c r="AB13" s="148">
        <v>0</v>
      </c>
      <c r="AC13" s="148">
        <v>0</v>
      </c>
      <c r="AD13" s="148">
        <v>0</v>
      </c>
      <c r="AE13" s="148">
        <v>0</v>
      </c>
      <c r="AF13" s="148">
        <v>0</v>
      </c>
    </row>
    <row r="14" spans="1:32" s="41" customFormat="1" x14ac:dyDescent="0.25">
      <c r="A14" s="142">
        <v>9</v>
      </c>
      <c r="B14" s="143" t="s">
        <v>119</v>
      </c>
      <c r="C14" s="144">
        <v>10.39</v>
      </c>
      <c r="D14" s="144">
        <v>10.39</v>
      </c>
      <c r="E14" s="144">
        <v>0</v>
      </c>
      <c r="F14" s="144">
        <v>0</v>
      </c>
      <c r="G14" s="144">
        <v>0</v>
      </c>
      <c r="H14" s="144">
        <v>0</v>
      </c>
      <c r="I14" s="144">
        <v>10.39</v>
      </c>
      <c r="J14" s="144">
        <v>10.39</v>
      </c>
      <c r="K14" s="144">
        <v>0</v>
      </c>
      <c r="L14" s="144">
        <v>0</v>
      </c>
      <c r="M14" s="144">
        <v>0</v>
      </c>
      <c r="N14" s="144">
        <v>0</v>
      </c>
      <c r="O14" s="145">
        <v>10</v>
      </c>
      <c r="P14" s="145">
        <v>10</v>
      </c>
      <c r="Q14" s="145">
        <v>0</v>
      </c>
      <c r="R14" s="145">
        <v>0</v>
      </c>
      <c r="S14" s="145">
        <v>0</v>
      </c>
      <c r="T14" s="145">
        <v>0</v>
      </c>
      <c r="U14" s="145">
        <v>0</v>
      </c>
      <c r="V14" s="145">
        <v>0</v>
      </c>
      <c r="W14" s="145">
        <v>0</v>
      </c>
      <c r="X14" s="145">
        <v>0</v>
      </c>
      <c r="Y14" s="145">
        <v>0</v>
      </c>
      <c r="Z14" s="145">
        <v>0</v>
      </c>
      <c r="AA14" s="152">
        <v>0</v>
      </c>
      <c r="AB14" s="152">
        <v>0</v>
      </c>
      <c r="AC14" s="152">
        <v>0</v>
      </c>
      <c r="AD14" s="152">
        <v>0</v>
      </c>
      <c r="AE14" s="152">
        <v>0</v>
      </c>
      <c r="AF14" s="152">
        <v>0</v>
      </c>
    </row>
    <row r="15" spans="1:32" ht="25.5" x14ac:dyDescent="0.25">
      <c r="A15" s="146">
        <v>10</v>
      </c>
      <c r="B15" s="147" t="s">
        <v>14</v>
      </c>
      <c r="C15" s="148">
        <v>0</v>
      </c>
      <c r="D15" s="148">
        <v>0</v>
      </c>
      <c r="E15" s="148">
        <v>0</v>
      </c>
      <c r="F15" s="148">
        <v>0</v>
      </c>
      <c r="G15" s="148">
        <v>0</v>
      </c>
      <c r="H15" s="148">
        <v>0</v>
      </c>
      <c r="I15" s="148">
        <v>0</v>
      </c>
      <c r="J15" s="148">
        <v>0</v>
      </c>
      <c r="K15" s="148">
        <v>0</v>
      </c>
      <c r="L15" s="148">
        <v>0</v>
      </c>
      <c r="M15" s="148">
        <v>0</v>
      </c>
      <c r="N15" s="148">
        <v>0</v>
      </c>
      <c r="O15" s="149">
        <v>0</v>
      </c>
      <c r="P15" s="149">
        <v>0</v>
      </c>
      <c r="Q15" s="149">
        <v>0</v>
      </c>
      <c r="R15" s="149">
        <v>0</v>
      </c>
      <c r="S15" s="149">
        <v>0</v>
      </c>
      <c r="T15" s="149">
        <v>0</v>
      </c>
      <c r="U15" s="197" t="s">
        <v>79</v>
      </c>
      <c r="V15" s="197"/>
      <c r="W15" s="197"/>
      <c r="X15" s="197"/>
      <c r="Y15" s="197"/>
      <c r="Z15" s="197"/>
      <c r="AA15" s="198" t="s">
        <v>86</v>
      </c>
      <c r="AB15" s="198"/>
      <c r="AC15" s="198"/>
      <c r="AD15" s="198"/>
      <c r="AE15" s="198"/>
      <c r="AF15" s="198"/>
    </row>
    <row r="16" spans="1:32" s="41" customFormat="1" ht="25.5" x14ac:dyDescent="0.25">
      <c r="A16" s="142">
        <v>11</v>
      </c>
      <c r="B16" s="143" t="s">
        <v>15</v>
      </c>
      <c r="C16" s="144">
        <v>3441.84</v>
      </c>
      <c r="D16" s="144">
        <v>1529.31</v>
      </c>
      <c r="E16" s="144">
        <v>0</v>
      </c>
      <c r="F16" s="144">
        <v>96</v>
      </c>
      <c r="G16" s="144">
        <v>0</v>
      </c>
      <c r="H16" s="144">
        <v>1816.53</v>
      </c>
      <c r="I16" s="144">
        <v>4519.5200000000004</v>
      </c>
      <c r="J16" s="144">
        <v>2384.31</v>
      </c>
      <c r="K16" s="144">
        <v>0</v>
      </c>
      <c r="L16" s="144">
        <v>96</v>
      </c>
      <c r="M16" s="144">
        <v>0</v>
      </c>
      <c r="N16" s="144">
        <v>2039.21</v>
      </c>
      <c r="O16" s="145">
        <v>6137.97</v>
      </c>
      <c r="P16" s="145">
        <v>2673.32</v>
      </c>
      <c r="Q16" s="145">
        <v>0</v>
      </c>
      <c r="R16" s="145">
        <v>0</v>
      </c>
      <c r="S16" s="145">
        <v>0</v>
      </c>
      <c r="T16" s="145">
        <v>3464.66</v>
      </c>
      <c r="U16" s="145">
        <v>4627.93</v>
      </c>
      <c r="V16" s="145">
        <v>1057.76</v>
      </c>
      <c r="W16" s="145">
        <v>0</v>
      </c>
      <c r="X16" s="145">
        <v>0</v>
      </c>
      <c r="Y16" s="145">
        <v>0</v>
      </c>
      <c r="Z16" s="145">
        <v>3570.17</v>
      </c>
      <c r="AA16" s="144">
        <v>4941.7</v>
      </c>
      <c r="AB16" s="144">
        <v>1331.64</v>
      </c>
      <c r="AC16" s="144">
        <v>0</v>
      </c>
      <c r="AD16" s="144">
        <v>0</v>
      </c>
      <c r="AE16" s="144">
        <v>0</v>
      </c>
      <c r="AF16" s="144">
        <v>3610.06</v>
      </c>
    </row>
    <row r="17" spans="1:32" ht="25.5" x14ac:dyDescent="0.25">
      <c r="A17" s="146">
        <v>12</v>
      </c>
      <c r="B17" s="147" t="s">
        <v>40</v>
      </c>
      <c r="C17" s="148">
        <v>144.18</v>
      </c>
      <c r="D17" s="148">
        <v>144.18</v>
      </c>
      <c r="E17" s="148">
        <v>0</v>
      </c>
      <c r="F17" s="148">
        <v>0</v>
      </c>
      <c r="G17" s="148">
        <v>0</v>
      </c>
      <c r="H17" s="148">
        <v>0</v>
      </c>
      <c r="I17" s="148">
        <v>144.18</v>
      </c>
      <c r="J17" s="148">
        <v>144.18</v>
      </c>
      <c r="K17" s="148">
        <v>0</v>
      </c>
      <c r="L17" s="148">
        <v>0</v>
      </c>
      <c r="M17" s="148">
        <v>0</v>
      </c>
      <c r="N17" s="148">
        <v>0</v>
      </c>
      <c r="O17" s="149">
        <v>24.18</v>
      </c>
      <c r="P17" s="149">
        <v>24.18</v>
      </c>
      <c r="Q17" s="149">
        <v>0</v>
      </c>
      <c r="R17" s="149">
        <v>0</v>
      </c>
      <c r="S17" s="149">
        <v>0</v>
      </c>
      <c r="T17" s="149">
        <v>0</v>
      </c>
      <c r="U17" s="197" t="s">
        <v>79</v>
      </c>
      <c r="V17" s="197"/>
      <c r="W17" s="197"/>
      <c r="X17" s="197"/>
      <c r="Y17" s="197"/>
      <c r="Z17" s="197"/>
      <c r="AA17" s="198" t="s">
        <v>86</v>
      </c>
      <c r="AB17" s="198"/>
      <c r="AC17" s="198"/>
      <c r="AD17" s="198"/>
      <c r="AE17" s="198"/>
      <c r="AF17" s="198"/>
    </row>
    <row r="18" spans="1:32" s="41" customFormat="1" ht="25.5" x14ac:dyDescent="0.25">
      <c r="A18" s="142">
        <v>13</v>
      </c>
      <c r="B18" s="143" t="s">
        <v>16</v>
      </c>
      <c r="C18" s="144">
        <v>1939.08</v>
      </c>
      <c r="D18" s="144">
        <v>0</v>
      </c>
      <c r="E18" s="144">
        <v>0</v>
      </c>
      <c r="F18" s="144">
        <v>0</v>
      </c>
      <c r="G18" s="144">
        <v>0</v>
      </c>
      <c r="H18" s="144">
        <v>1939.08</v>
      </c>
      <c r="I18" s="144">
        <v>2330.25</v>
      </c>
      <c r="J18" s="144">
        <v>0</v>
      </c>
      <c r="K18" s="144">
        <v>0</v>
      </c>
      <c r="L18" s="144">
        <v>0</v>
      </c>
      <c r="M18" s="144">
        <v>0</v>
      </c>
      <c r="N18" s="144">
        <v>2330.25</v>
      </c>
      <c r="O18" s="145">
        <v>2680.73</v>
      </c>
      <c r="P18" s="145">
        <v>0</v>
      </c>
      <c r="Q18" s="145">
        <v>0</v>
      </c>
      <c r="R18" s="145">
        <v>0</v>
      </c>
      <c r="S18" s="145">
        <v>0</v>
      </c>
      <c r="T18" s="145">
        <v>2680.73</v>
      </c>
      <c r="U18" s="145">
        <v>3116.21</v>
      </c>
      <c r="V18" s="145">
        <v>199.92</v>
      </c>
      <c r="W18" s="145">
        <v>0</v>
      </c>
      <c r="X18" s="145">
        <v>0</v>
      </c>
      <c r="Y18" s="145">
        <v>0</v>
      </c>
      <c r="Z18" s="145">
        <v>2916.29</v>
      </c>
      <c r="AA18" s="144">
        <v>3023.32</v>
      </c>
      <c r="AB18" s="144">
        <v>338.39</v>
      </c>
      <c r="AC18" s="144">
        <v>0</v>
      </c>
      <c r="AD18" s="144">
        <v>0</v>
      </c>
      <c r="AE18" s="144">
        <v>0</v>
      </c>
      <c r="AF18" s="144">
        <v>2684.93</v>
      </c>
    </row>
    <row r="19" spans="1:32" ht="25.5" x14ac:dyDescent="0.25">
      <c r="A19" s="146">
        <v>14</v>
      </c>
      <c r="B19" s="147" t="s">
        <v>143</v>
      </c>
      <c r="C19" s="148">
        <v>0</v>
      </c>
      <c r="D19" s="148">
        <v>0</v>
      </c>
      <c r="E19" s="148">
        <v>0</v>
      </c>
      <c r="F19" s="148">
        <v>0</v>
      </c>
      <c r="G19" s="148">
        <v>0</v>
      </c>
      <c r="H19" s="148">
        <v>0</v>
      </c>
      <c r="I19" s="148">
        <v>0</v>
      </c>
      <c r="J19" s="148">
        <v>0</v>
      </c>
      <c r="K19" s="148">
        <v>0</v>
      </c>
      <c r="L19" s="148">
        <v>0</v>
      </c>
      <c r="M19" s="148">
        <v>0</v>
      </c>
      <c r="N19" s="148">
        <v>0</v>
      </c>
      <c r="O19" s="149">
        <v>0</v>
      </c>
      <c r="P19" s="149">
        <v>0</v>
      </c>
      <c r="Q19" s="149">
        <v>0</v>
      </c>
      <c r="R19" s="149">
        <v>0</v>
      </c>
      <c r="S19" s="149">
        <v>0</v>
      </c>
      <c r="T19" s="149">
        <v>0</v>
      </c>
      <c r="U19" s="149">
        <v>0</v>
      </c>
      <c r="V19" s="149">
        <v>0</v>
      </c>
      <c r="W19" s="149">
        <v>0</v>
      </c>
      <c r="X19" s="149">
        <v>0</v>
      </c>
      <c r="Y19" s="149">
        <v>0</v>
      </c>
      <c r="Z19" s="149">
        <v>0</v>
      </c>
      <c r="AA19" s="148">
        <v>0</v>
      </c>
      <c r="AB19" s="148">
        <v>0</v>
      </c>
      <c r="AC19" s="148">
        <v>0</v>
      </c>
      <c r="AD19" s="148">
        <v>0</v>
      </c>
      <c r="AE19" s="148">
        <v>0</v>
      </c>
      <c r="AF19" s="148">
        <v>0</v>
      </c>
    </row>
    <row r="20" spans="1:32" s="41" customFormat="1" ht="25.5" x14ac:dyDescent="0.25">
      <c r="A20" s="153">
        <v>15</v>
      </c>
      <c r="B20" s="143" t="s">
        <v>147</v>
      </c>
      <c r="C20" s="144">
        <v>0</v>
      </c>
      <c r="D20" s="144">
        <v>0</v>
      </c>
      <c r="E20" s="144">
        <v>0</v>
      </c>
      <c r="F20" s="144">
        <v>0</v>
      </c>
      <c r="G20" s="144">
        <v>0</v>
      </c>
      <c r="H20" s="144">
        <v>0</v>
      </c>
      <c r="I20" s="144">
        <v>0</v>
      </c>
      <c r="J20" s="144">
        <v>0</v>
      </c>
      <c r="K20" s="144">
        <v>0</v>
      </c>
      <c r="L20" s="144">
        <v>0</v>
      </c>
      <c r="M20" s="144">
        <v>0</v>
      </c>
      <c r="N20" s="144">
        <v>0</v>
      </c>
      <c r="O20" s="145">
        <v>0</v>
      </c>
      <c r="P20" s="145">
        <v>0</v>
      </c>
      <c r="Q20" s="145">
        <v>0</v>
      </c>
      <c r="R20" s="145">
        <v>0</v>
      </c>
      <c r="S20" s="145">
        <v>0</v>
      </c>
      <c r="T20" s="145">
        <v>0</v>
      </c>
      <c r="U20" s="219" t="s">
        <v>78</v>
      </c>
      <c r="V20" s="219"/>
      <c r="W20" s="219"/>
      <c r="X20" s="219"/>
      <c r="Y20" s="219"/>
      <c r="Z20" s="219"/>
      <c r="AA20" s="215" t="s">
        <v>87</v>
      </c>
      <c r="AB20" s="215"/>
      <c r="AC20" s="215"/>
      <c r="AD20" s="215"/>
      <c r="AE20" s="215"/>
      <c r="AF20" s="215"/>
    </row>
    <row r="21" spans="1:32" x14ac:dyDescent="0.25">
      <c r="A21" s="146">
        <v>16</v>
      </c>
      <c r="B21" s="147" t="s">
        <v>17</v>
      </c>
      <c r="C21" s="148">
        <v>0</v>
      </c>
      <c r="D21" s="148">
        <v>0</v>
      </c>
      <c r="E21" s="148">
        <v>0</v>
      </c>
      <c r="F21" s="148">
        <v>0</v>
      </c>
      <c r="G21" s="148">
        <v>0</v>
      </c>
      <c r="H21" s="148">
        <v>0</v>
      </c>
      <c r="I21" s="148">
        <v>0</v>
      </c>
      <c r="J21" s="148">
        <v>0</v>
      </c>
      <c r="K21" s="148">
        <v>0</v>
      </c>
      <c r="L21" s="148">
        <v>0</v>
      </c>
      <c r="M21" s="148">
        <v>0</v>
      </c>
      <c r="N21" s="148">
        <v>0</v>
      </c>
      <c r="O21" s="149">
        <v>0</v>
      </c>
      <c r="P21" s="149">
        <v>0</v>
      </c>
      <c r="Q21" s="149">
        <v>0</v>
      </c>
      <c r="R21" s="149">
        <v>0</v>
      </c>
      <c r="S21" s="149">
        <v>0</v>
      </c>
      <c r="T21" s="149">
        <v>0</v>
      </c>
      <c r="U21" s="149">
        <v>0</v>
      </c>
      <c r="V21" s="149">
        <v>0</v>
      </c>
      <c r="W21" s="149">
        <v>0</v>
      </c>
      <c r="X21" s="149">
        <v>0</v>
      </c>
      <c r="Y21" s="149">
        <v>0</v>
      </c>
      <c r="Z21" s="148">
        <v>0</v>
      </c>
      <c r="AA21" s="148">
        <v>0</v>
      </c>
      <c r="AB21" s="148">
        <v>0</v>
      </c>
      <c r="AC21" s="148">
        <v>0</v>
      </c>
      <c r="AD21" s="148">
        <v>0</v>
      </c>
      <c r="AE21" s="148">
        <v>0</v>
      </c>
      <c r="AF21" s="148">
        <v>0</v>
      </c>
    </row>
    <row r="22" spans="1:32" s="41" customFormat="1" ht="25.5" x14ac:dyDescent="0.25">
      <c r="A22" s="142">
        <v>17</v>
      </c>
      <c r="B22" s="143" t="s">
        <v>93</v>
      </c>
      <c r="C22" s="208" t="s">
        <v>148</v>
      </c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09"/>
    </row>
    <row r="23" spans="1:32" x14ac:dyDescent="0.25">
      <c r="A23" s="146"/>
      <c r="B23" s="154" t="s">
        <v>18</v>
      </c>
      <c r="C23" s="155">
        <f>SUM(C6:C21)</f>
        <v>200872.38</v>
      </c>
      <c r="D23" s="155">
        <f t="shared" ref="D23:AF23" si="0">SUM(D6:D21)</f>
        <v>1683.88</v>
      </c>
      <c r="E23" s="155">
        <f t="shared" si="0"/>
        <v>6100.73</v>
      </c>
      <c r="F23" s="155">
        <f t="shared" si="0"/>
        <v>96</v>
      </c>
      <c r="G23" s="155">
        <f t="shared" si="0"/>
        <v>0</v>
      </c>
      <c r="H23" s="155">
        <f t="shared" si="0"/>
        <v>192991.77</v>
      </c>
      <c r="I23" s="155">
        <f t="shared" si="0"/>
        <v>270556.17000000004</v>
      </c>
      <c r="J23" s="155">
        <f t="shared" si="0"/>
        <v>2538.8799999999997</v>
      </c>
      <c r="K23" s="155">
        <f t="shared" si="0"/>
        <v>6717.8799999999992</v>
      </c>
      <c r="L23" s="155">
        <f t="shared" si="0"/>
        <v>96</v>
      </c>
      <c r="M23" s="155">
        <f t="shared" si="0"/>
        <v>0</v>
      </c>
      <c r="N23" s="155">
        <f t="shared" si="0"/>
        <v>261203.40999999997</v>
      </c>
      <c r="O23" s="155">
        <f t="shared" si="0"/>
        <v>366791.48</v>
      </c>
      <c r="P23" s="155">
        <f t="shared" si="0"/>
        <v>2707.5</v>
      </c>
      <c r="Q23" s="155">
        <f t="shared" si="0"/>
        <v>7517.43</v>
      </c>
      <c r="R23" s="155">
        <f t="shared" si="0"/>
        <v>0</v>
      </c>
      <c r="S23" s="155">
        <f t="shared" si="0"/>
        <v>0</v>
      </c>
      <c r="T23" s="155">
        <f t="shared" si="0"/>
        <v>356566.56</v>
      </c>
      <c r="U23" s="155">
        <f t="shared" si="0"/>
        <v>437137.57</v>
      </c>
      <c r="V23" s="155">
        <f t="shared" si="0"/>
        <v>1257.68</v>
      </c>
      <c r="W23" s="155">
        <f t="shared" si="0"/>
        <v>7826</v>
      </c>
      <c r="X23" s="155">
        <f t="shared" si="0"/>
        <v>0</v>
      </c>
      <c r="Y23" s="155">
        <f t="shared" si="0"/>
        <v>0</v>
      </c>
      <c r="Z23" s="155">
        <f t="shared" si="0"/>
        <v>428053.88999999996</v>
      </c>
      <c r="AA23" s="155">
        <f t="shared" si="0"/>
        <v>472264.53</v>
      </c>
      <c r="AB23" s="155">
        <f t="shared" si="0"/>
        <v>1670.0300000000002</v>
      </c>
      <c r="AC23" s="155">
        <f t="shared" si="0"/>
        <v>7023.18</v>
      </c>
      <c r="AD23" s="155">
        <f t="shared" si="0"/>
        <v>0</v>
      </c>
      <c r="AE23" s="155">
        <f t="shared" si="0"/>
        <v>0</v>
      </c>
      <c r="AF23" s="155">
        <f t="shared" si="0"/>
        <v>463571.32</v>
      </c>
    </row>
    <row r="24" spans="1:32" s="41" customFormat="1" x14ac:dyDescent="0.25">
      <c r="A24" s="216" t="s">
        <v>44</v>
      </c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8"/>
    </row>
    <row r="25" spans="1:32" x14ac:dyDescent="0.25">
      <c r="A25" s="146">
        <v>18</v>
      </c>
      <c r="B25" s="147" t="s">
        <v>62</v>
      </c>
      <c r="C25" s="148">
        <v>0</v>
      </c>
      <c r="D25" s="148">
        <v>0</v>
      </c>
      <c r="E25" s="148">
        <v>0</v>
      </c>
      <c r="F25" s="148">
        <v>0</v>
      </c>
      <c r="G25" s="148">
        <v>0</v>
      </c>
      <c r="H25" s="148">
        <v>0</v>
      </c>
      <c r="I25" s="148">
        <v>0</v>
      </c>
      <c r="J25" s="148">
        <v>0</v>
      </c>
      <c r="K25" s="148">
        <v>0</v>
      </c>
      <c r="L25" s="148">
        <v>0</v>
      </c>
      <c r="M25" s="148">
        <v>0</v>
      </c>
      <c r="N25" s="148">
        <v>0</v>
      </c>
      <c r="O25" s="149">
        <v>0</v>
      </c>
      <c r="P25" s="149">
        <v>0</v>
      </c>
      <c r="Q25" s="149">
        <v>0</v>
      </c>
      <c r="R25" s="149">
        <v>0</v>
      </c>
      <c r="S25" s="149">
        <v>0</v>
      </c>
      <c r="T25" s="149">
        <v>0</v>
      </c>
      <c r="U25" s="149">
        <v>0</v>
      </c>
      <c r="V25" s="149">
        <v>0</v>
      </c>
      <c r="W25" s="149">
        <v>0</v>
      </c>
      <c r="X25" s="149">
        <v>0</v>
      </c>
      <c r="Y25" s="149">
        <v>0</v>
      </c>
      <c r="Z25" s="149">
        <v>0</v>
      </c>
      <c r="AA25" s="148">
        <v>0</v>
      </c>
      <c r="AB25" s="148">
        <v>0</v>
      </c>
      <c r="AC25" s="148">
        <v>0</v>
      </c>
      <c r="AD25" s="148">
        <v>0</v>
      </c>
      <c r="AE25" s="148">
        <v>0</v>
      </c>
      <c r="AF25" s="148">
        <v>0</v>
      </c>
    </row>
    <row r="26" spans="1:32" s="41" customFormat="1" ht="25.5" x14ac:dyDescent="0.25">
      <c r="A26" s="142">
        <v>19</v>
      </c>
      <c r="B26" s="143" t="s">
        <v>67</v>
      </c>
      <c r="C26" s="144">
        <v>0</v>
      </c>
      <c r="D26" s="144">
        <v>0</v>
      </c>
      <c r="E26" s="144">
        <v>0</v>
      </c>
      <c r="F26" s="144">
        <v>0</v>
      </c>
      <c r="G26" s="144">
        <v>0</v>
      </c>
      <c r="H26" s="144">
        <v>0</v>
      </c>
      <c r="I26" s="144">
        <v>0</v>
      </c>
      <c r="J26" s="144">
        <v>0</v>
      </c>
      <c r="K26" s="144">
        <v>0</v>
      </c>
      <c r="L26" s="144">
        <v>0</v>
      </c>
      <c r="M26" s="144">
        <v>0</v>
      </c>
      <c r="N26" s="144">
        <v>0</v>
      </c>
      <c r="O26" s="145">
        <v>0</v>
      </c>
      <c r="P26" s="145">
        <v>0</v>
      </c>
      <c r="Q26" s="145">
        <v>0</v>
      </c>
      <c r="R26" s="145">
        <v>0</v>
      </c>
      <c r="S26" s="145">
        <v>0</v>
      </c>
      <c r="T26" s="145">
        <v>0</v>
      </c>
      <c r="U26" s="145">
        <v>0</v>
      </c>
      <c r="V26" s="145">
        <v>0</v>
      </c>
      <c r="W26" s="145">
        <v>0</v>
      </c>
      <c r="X26" s="145">
        <v>0</v>
      </c>
      <c r="Y26" s="145">
        <v>0</v>
      </c>
      <c r="Z26" s="145">
        <v>0</v>
      </c>
      <c r="AA26" s="144">
        <v>0</v>
      </c>
      <c r="AB26" s="144">
        <v>0</v>
      </c>
      <c r="AC26" s="144">
        <v>0</v>
      </c>
      <c r="AD26" s="144">
        <v>0</v>
      </c>
      <c r="AE26" s="144">
        <v>0</v>
      </c>
      <c r="AF26" s="144">
        <v>0</v>
      </c>
    </row>
    <row r="27" spans="1:32" ht="25.5" x14ac:dyDescent="0.25">
      <c r="A27" s="146">
        <v>20</v>
      </c>
      <c r="B27" s="147" t="s">
        <v>46</v>
      </c>
      <c r="C27" s="148">
        <v>70</v>
      </c>
      <c r="D27" s="148">
        <v>0</v>
      </c>
      <c r="E27" s="148">
        <v>0</v>
      </c>
      <c r="F27" s="148">
        <v>0</v>
      </c>
      <c r="G27" s="148">
        <v>0</v>
      </c>
      <c r="H27" s="148">
        <v>70</v>
      </c>
      <c r="I27" s="148">
        <v>70</v>
      </c>
      <c r="J27" s="148">
        <v>0</v>
      </c>
      <c r="K27" s="148">
        <v>0</v>
      </c>
      <c r="L27" s="148">
        <v>0</v>
      </c>
      <c r="M27" s="148">
        <v>0</v>
      </c>
      <c r="N27" s="148">
        <v>70</v>
      </c>
      <c r="O27" s="149">
        <v>63.63</v>
      </c>
      <c r="P27" s="149">
        <v>0</v>
      </c>
      <c r="Q27" s="149">
        <v>0</v>
      </c>
      <c r="R27" s="149">
        <v>0</v>
      </c>
      <c r="S27" s="149">
        <v>0</v>
      </c>
      <c r="T27" s="149">
        <v>63.63</v>
      </c>
      <c r="U27" s="149">
        <v>57.27</v>
      </c>
      <c r="V27" s="149">
        <v>0</v>
      </c>
      <c r="W27" s="149">
        <v>0</v>
      </c>
      <c r="X27" s="149">
        <v>0</v>
      </c>
      <c r="Y27" s="149">
        <v>0</v>
      </c>
      <c r="Z27" s="149">
        <v>57.27</v>
      </c>
      <c r="AA27" s="148">
        <v>50.91</v>
      </c>
      <c r="AB27" s="148">
        <v>0</v>
      </c>
      <c r="AC27" s="148">
        <v>0</v>
      </c>
      <c r="AD27" s="148">
        <v>0</v>
      </c>
      <c r="AE27" s="148">
        <v>0</v>
      </c>
      <c r="AF27" s="148">
        <v>50.91</v>
      </c>
    </row>
    <row r="28" spans="1:32" s="41" customFormat="1" ht="25.5" x14ac:dyDescent="0.25">
      <c r="A28" s="142">
        <v>21</v>
      </c>
      <c r="B28" s="143" t="s">
        <v>122</v>
      </c>
      <c r="C28" s="144">
        <v>0</v>
      </c>
      <c r="D28" s="144">
        <v>0</v>
      </c>
      <c r="E28" s="144">
        <v>0</v>
      </c>
      <c r="F28" s="144">
        <v>0</v>
      </c>
      <c r="G28" s="144">
        <v>0</v>
      </c>
      <c r="H28" s="144">
        <v>0</v>
      </c>
      <c r="I28" s="144">
        <v>0</v>
      </c>
      <c r="J28" s="144">
        <v>0</v>
      </c>
      <c r="K28" s="144">
        <v>0</v>
      </c>
      <c r="L28" s="144">
        <v>0</v>
      </c>
      <c r="M28" s="144">
        <v>0</v>
      </c>
      <c r="N28" s="144">
        <v>0</v>
      </c>
      <c r="O28" s="145">
        <v>0</v>
      </c>
      <c r="P28" s="145">
        <v>0</v>
      </c>
      <c r="Q28" s="145">
        <v>0</v>
      </c>
      <c r="R28" s="145">
        <v>0</v>
      </c>
      <c r="S28" s="145">
        <v>0</v>
      </c>
      <c r="T28" s="145">
        <v>0</v>
      </c>
      <c r="U28" s="145">
        <v>0</v>
      </c>
      <c r="V28" s="145">
        <v>0</v>
      </c>
      <c r="W28" s="145">
        <v>0</v>
      </c>
      <c r="X28" s="145">
        <v>0</v>
      </c>
      <c r="Y28" s="145">
        <v>0</v>
      </c>
      <c r="Z28" s="145">
        <v>0</v>
      </c>
      <c r="AA28" s="144">
        <v>0</v>
      </c>
      <c r="AB28" s="144">
        <v>0</v>
      </c>
      <c r="AC28" s="144">
        <v>0</v>
      </c>
      <c r="AD28" s="144">
        <v>0</v>
      </c>
      <c r="AE28" s="144">
        <v>0</v>
      </c>
      <c r="AF28" s="144">
        <v>0</v>
      </c>
    </row>
    <row r="29" spans="1:32" ht="25.5" x14ac:dyDescent="0.25">
      <c r="A29" s="146">
        <v>22</v>
      </c>
      <c r="B29" s="147" t="s">
        <v>124</v>
      </c>
      <c r="C29" s="148">
        <v>0</v>
      </c>
      <c r="D29" s="148">
        <v>0</v>
      </c>
      <c r="E29" s="148">
        <v>0</v>
      </c>
      <c r="F29" s="148">
        <v>0</v>
      </c>
      <c r="G29" s="148">
        <v>0</v>
      </c>
      <c r="H29" s="148">
        <v>0</v>
      </c>
      <c r="I29" s="148">
        <v>0</v>
      </c>
      <c r="J29" s="148">
        <v>0</v>
      </c>
      <c r="K29" s="148">
        <v>0</v>
      </c>
      <c r="L29" s="148">
        <v>0</v>
      </c>
      <c r="M29" s="148">
        <v>0</v>
      </c>
      <c r="N29" s="148">
        <v>0</v>
      </c>
      <c r="O29" s="149">
        <v>0</v>
      </c>
      <c r="P29" s="149">
        <v>0</v>
      </c>
      <c r="Q29" s="149">
        <v>0</v>
      </c>
      <c r="R29" s="149">
        <v>0</v>
      </c>
      <c r="S29" s="149">
        <v>0</v>
      </c>
      <c r="T29" s="149">
        <v>0</v>
      </c>
      <c r="U29" s="149">
        <v>0</v>
      </c>
      <c r="V29" s="149">
        <v>0</v>
      </c>
      <c r="W29" s="149">
        <v>0</v>
      </c>
      <c r="X29" s="149">
        <v>0</v>
      </c>
      <c r="Y29" s="149">
        <v>0</v>
      </c>
      <c r="Z29" s="149">
        <v>0</v>
      </c>
      <c r="AA29" s="148">
        <v>2E-3</v>
      </c>
      <c r="AB29" s="148">
        <v>0</v>
      </c>
      <c r="AC29" s="148">
        <v>0</v>
      </c>
      <c r="AD29" s="148">
        <v>0</v>
      </c>
      <c r="AE29" s="148">
        <v>0</v>
      </c>
      <c r="AF29" s="148">
        <v>2E-3</v>
      </c>
    </row>
    <row r="30" spans="1:32" s="41" customFormat="1" x14ac:dyDescent="0.25">
      <c r="A30" s="142">
        <v>23</v>
      </c>
      <c r="B30" s="143" t="s">
        <v>123</v>
      </c>
      <c r="C30" s="144">
        <v>337.85</v>
      </c>
      <c r="D30" s="144">
        <v>0</v>
      </c>
      <c r="E30" s="144">
        <v>337.85</v>
      </c>
      <c r="F30" s="144">
        <v>0</v>
      </c>
      <c r="G30" s="144">
        <v>0</v>
      </c>
      <c r="H30" s="144">
        <v>0</v>
      </c>
      <c r="I30" s="144">
        <v>417.22</v>
      </c>
      <c r="J30" s="144">
        <v>0</v>
      </c>
      <c r="K30" s="144">
        <v>417.22</v>
      </c>
      <c r="L30" s="144">
        <v>0</v>
      </c>
      <c r="M30" s="144">
        <v>0</v>
      </c>
      <c r="N30" s="144">
        <v>0</v>
      </c>
      <c r="O30" s="145">
        <v>336</v>
      </c>
      <c r="P30" s="145">
        <v>0</v>
      </c>
      <c r="Q30" s="145">
        <v>336</v>
      </c>
      <c r="R30" s="145">
        <v>0</v>
      </c>
      <c r="S30" s="145">
        <v>0</v>
      </c>
      <c r="T30" s="145">
        <v>0</v>
      </c>
      <c r="U30" s="145">
        <v>240.66</v>
      </c>
      <c r="V30" s="145">
        <v>0</v>
      </c>
      <c r="W30" s="145">
        <v>240.66</v>
      </c>
      <c r="X30" s="145">
        <v>0</v>
      </c>
      <c r="Y30" s="145">
        <v>0</v>
      </c>
      <c r="Z30" s="145">
        <v>0</v>
      </c>
      <c r="AA30" s="144">
        <v>228.56</v>
      </c>
      <c r="AB30" s="144">
        <v>0</v>
      </c>
      <c r="AC30" s="144">
        <v>228.56</v>
      </c>
      <c r="AD30" s="144">
        <v>0</v>
      </c>
      <c r="AE30" s="144">
        <v>0</v>
      </c>
      <c r="AF30" s="144">
        <v>0</v>
      </c>
    </row>
    <row r="31" spans="1:32" ht="25.5" x14ac:dyDescent="0.25">
      <c r="A31" s="146">
        <v>24</v>
      </c>
      <c r="B31" s="147" t="s">
        <v>135</v>
      </c>
      <c r="C31" s="148">
        <v>561.59</v>
      </c>
      <c r="D31" s="148">
        <v>0</v>
      </c>
      <c r="E31" s="148">
        <v>561.59</v>
      </c>
      <c r="F31" s="148">
        <v>0</v>
      </c>
      <c r="G31" s="148">
        <v>0</v>
      </c>
      <c r="H31" s="148">
        <v>0</v>
      </c>
      <c r="I31" s="148">
        <v>564.15</v>
      </c>
      <c r="J31" s="148">
        <v>0</v>
      </c>
      <c r="K31" s="148">
        <v>564.15</v>
      </c>
      <c r="L31" s="148">
        <v>0</v>
      </c>
      <c r="M31" s="148">
        <v>0</v>
      </c>
      <c r="N31" s="148">
        <v>0</v>
      </c>
      <c r="O31" s="149">
        <v>526</v>
      </c>
      <c r="P31" s="149">
        <v>0</v>
      </c>
      <c r="Q31" s="149">
        <v>526</v>
      </c>
      <c r="R31" s="149">
        <v>0</v>
      </c>
      <c r="S31" s="149">
        <v>0</v>
      </c>
      <c r="T31" s="149">
        <v>0</v>
      </c>
      <c r="U31" s="149">
        <v>499.86</v>
      </c>
      <c r="V31" s="149">
        <v>0</v>
      </c>
      <c r="W31" s="149">
        <v>0</v>
      </c>
      <c r="X31" s="149">
        <v>0</v>
      </c>
      <c r="Y31" s="149">
        <v>0</v>
      </c>
      <c r="Z31" s="149">
        <v>499.86</v>
      </c>
      <c r="AA31" s="148">
        <v>493.06</v>
      </c>
      <c r="AB31" s="148">
        <v>0</v>
      </c>
      <c r="AC31" s="148">
        <v>0</v>
      </c>
      <c r="AD31" s="148">
        <v>0</v>
      </c>
      <c r="AE31" s="148">
        <v>0</v>
      </c>
      <c r="AF31" s="148">
        <v>493.06</v>
      </c>
    </row>
    <row r="32" spans="1:32" s="41" customFormat="1" ht="25.5" x14ac:dyDescent="0.25">
      <c r="A32" s="142">
        <v>25</v>
      </c>
      <c r="B32" s="143" t="s">
        <v>141</v>
      </c>
      <c r="C32" s="144">
        <v>130</v>
      </c>
      <c r="D32" s="144">
        <v>0</v>
      </c>
      <c r="E32" s="144">
        <v>130</v>
      </c>
      <c r="F32" s="144">
        <v>0</v>
      </c>
      <c r="G32" s="144">
        <v>0</v>
      </c>
      <c r="H32" s="144">
        <v>0</v>
      </c>
      <c r="I32" s="144">
        <v>269.22000000000003</v>
      </c>
      <c r="J32" s="144">
        <v>0</v>
      </c>
      <c r="K32" s="144">
        <v>269.22000000000003</v>
      </c>
      <c r="L32" s="144">
        <v>0</v>
      </c>
      <c r="M32" s="144">
        <v>0</v>
      </c>
      <c r="N32" s="144">
        <v>0</v>
      </c>
      <c r="O32" s="145">
        <v>357.39</v>
      </c>
      <c r="P32" s="145">
        <v>0</v>
      </c>
      <c r="Q32" s="145">
        <v>26.46</v>
      </c>
      <c r="R32" s="145">
        <v>0</v>
      </c>
      <c r="S32" s="145">
        <v>0</v>
      </c>
      <c r="T32" s="145">
        <v>330.93</v>
      </c>
      <c r="U32" s="145">
        <v>382.89</v>
      </c>
      <c r="V32" s="145" t="s">
        <v>77</v>
      </c>
      <c r="W32" s="145">
        <v>38.76</v>
      </c>
      <c r="X32" s="145">
        <v>0</v>
      </c>
      <c r="Y32" s="145">
        <v>0</v>
      </c>
      <c r="Z32" s="145">
        <v>344.13</v>
      </c>
      <c r="AA32" s="144">
        <v>372.42</v>
      </c>
      <c r="AB32" s="144">
        <v>0</v>
      </c>
      <c r="AC32" s="144">
        <v>47.13</v>
      </c>
      <c r="AD32" s="144">
        <v>0</v>
      </c>
      <c r="AE32" s="144">
        <v>0</v>
      </c>
      <c r="AF32" s="144">
        <v>325.29000000000002</v>
      </c>
    </row>
    <row r="33" spans="1:32" ht="25.5" x14ac:dyDescent="0.25">
      <c r="A33" s="146">
        <v>26</v>
      </c>
      <c r="B33" s="147" t="s">
        <v>137</v>
      </c>
      <c r="C33" s="148">
        <v>0</v>
      </c>
      <c r="D33" s="148">
        <v>0</v>
      </c>
      <c r="E33" s="148">
        <v>0</v>
      </c>
      <c r="F33" s="148">
        <v>0</v>
      </c>
      <c r="G33" s="148">
        <v>0</v>
      </c>
      <c r="H33" s="148">
        <v>0</v>
      </c>
      <c r="I33" s="148">
        <v>181</v>
      </c>
      <c r="J33" s="148">
        <v>0</v>
      </c>
      <c r="K33" s="148">
        <v>181</v>
      </c>
      <c r="L33" s="148">
        <v>0</v>
      </c>
      <c r="M33" s="148">
        <v>0</v>
      </c>
      <c r="N33" s="148">
        <v>0</v>
      </c>
      <c r="O33" s="149">
        <v>589.5</v>
      </c>
      <c r="P33" s="149">
        <v>0</v>
      </c>
      <c r="Q33" s="149">
        <v>589.5</v>
      </c>
      <c r="R33" s="149">
        <v>0</v>
      </c>
      <c r="S33" s="149">
        <v>0</v>
      </c>
      <c r="T33" s="149">
        <v>0</v>
      </c>
      <c r="U33" s="149">
        <v>589.5</v>
      </c>
      <c r="V33" s="149">
        <v>0</v>
      </c>
      <c r="W33" s="149">
        <v>34.479999999999997</v>
      </c>
      <c r="X33" s="149">
        <v>0</v>
      </c>
      <c r="Y33" s="149">
        <v>0</v>
      </c>
      <c r="Z33" s="149">
        <v>555.02</v>
      </c>
      <c r="AA33" s="148">
        <v>724.12</v>
      </c>
      <c r="AB33" s="148">
        <v>0</v>
      </c>
      <c r="AC33" s="148">
        <v>68.959999999999994</v>
      </c>
      <c r="AD33" s="148">
        <v>0</v>
      </c>
      <c r="AE33" s="148">
        <v>0</v>
      </c>
      <c r="AF33" s="148">
        <v>655.16</v>
      </c>
    </row>
    <row r="34" spans="1:32" s="41" customFormat="1" ht="25.5" x14ac:dyDescent="0.25">
      <c r="A34" s="142">
        <v>27</v>
      </c>
      <c r="B34" s="143" t="s">
        <v>66</v>
      </c>
      <c r="C34" s="144">
        <v>0</v>
      </c>
      <c r="D34" s="144">
        <v>0</v>
      </c>
      <c r="E34" s="144">
        <v>0</v>
      </c>
      <c r="F34" s="144">
        <v>0</v>
      </c>
      <c r="G34" s="144">
        <v>0</v>
      </c>
      <c r="H34" s="144">
        <v>0</v>
      </c>
      <c r="I34" s="144">
        <v>0</v>
      </c>
      <c r="J34" s="144">
        <v>0</v>
      </c>
      <c r="K34" s="144">
        <v>0</v>
      </c>
      <c r="L34" s="144">
        <v>0</v>
      </c>
      <c r="M34" s="144">
        <v>0</v>
      </c>
      <c r="N34" s="144">
        <v>0</v>
      </c>
      <c r="O34" s="145">
        <v>0</v>
      </c>
      <c r="P34" s="145">
        <v>0</v>
      </c>
      <c r="Q34" s="145">
        <v>0</v>
      </c>
      <c r="R34" s="145">
        <v>0</v>
      </c>
      <c r="S34" s="145">
        <v>0</v>
      </c>
      <c r="T34" s="145">
        <v>0</v>
      </c>
      <c r="U34" s="145">
        <v>0</v>
      </c>
      <c r="V34" s="145">
        <v>0</v>
      </c>
      <c r="W34" s="145">
        <v>0</v>
      </c>
      <c r="X34" s="145">
        <v>0</v>
      </c>
      <c r="Y34" s="145">
        <v>0</v>
      </c>
      <c r="Z34" s="145">
        <v>0</v>
      </c>
      <c r="AA34" s="144">
        <v>0</v>
      </c>
      <c r="AB34" s="144">
        <v>0</v>
      </c>
      <c r="AC34" s="144">
        <v>0</v>
      </c>
      <c r="AD34" s="144">
        <v>0</v>
      </c>
      <c r="AE34" s="144">
        <v>0</v>
      </c>
      <c r="AF34" s="144">
        <v>0</v>
      </c>
    </row>
    <row r="35" spans="1:32" ht="25.5" x14ac:dyDescent="0.25">
      <c r="A35" s="146">
        <v>28</v>
      </c>
      <c r="B35" s="147" t="s">
        <v>126</v>
      </c>
      <c r="C35" s="156" t="s">
        <v>83</v>
      </c>
      <c r="D35" s="156"/>
      <c r="E35" s="156"/>
      <c r="F35" s="156"/>
      <c r="G35" s="156"/>
      <c r="H35" s="156"/>
      <c r="I35" s="156" t="s">
        <v>83</v>
      </c>
      <c r="J35" s="156"/>
      <c r="K35" s="156"/>
      <c r="L35" s="156"/>
      <c r="M35" s="156"/>
      <c r="N35" s="156"/>
      <c r="O35" s="156" t="s">
        <v>83</v>
      </c>
      <c r="P35" s="156"/>
      <c r="Q35" s="156"/>
      <c r="R35" s="156"/>
      <c r="S35" s="156"/>
      <c r="T35" s="156"/>
      <c r="U35" s="148">
        <v>0</v>
      </c>
      <c r="V35" s="148">
        <v>0</v>
      </c>
      <c r="W35" s="148">
        <v>0</v>
      </c>
      <c r="X35" s="148">
        <v>0</v>
      </c>
      <c r="Y35" s="148">
        <v>0</v>
      </c>
      <c r="Z35" s="148">
        <v>0</v>
      </c>
      <c r="AA35" s="157">
        <v>0</v>
      </c>
      <c r="AB35" s="148">
        <v>0</v>
      </c>
      <c r="AC35" s="148">
        <v>0</v>
      </c>
      <c r="AD35" s="148">
        <v>0</v>
      </c>
      <c r="AE35" s="148">
        <v>0</v>
      </c>
      <c r="AF35" s="148">
        <v>0</v>
      </c>
    </row>
    <row r="36" spans="1:32" s="41" customFormat="1" ht="25.5" x14ac:dyDescent="0.25">
      <c r="A36" s="142">
        <v>29</v>
      </c>
      <c r="B36" s="143" t="s">
        <v>125</v>
      </c>
      <c r="C36" s="158" t="s">
        <v>83</v>
      </c>
      <c r="D36" s="158"/>
      <c r="E36" s="158"/>
      <c r="F36" s="158"/>
      <c r="G36" s="158"/>
      <c r="H36" s="158"/>
      <c r="I36" s="158" t="s">
        <v>83</v>
      </c>
      <c r="J36" s="158"/>
      <c r="K36" s="158"/>
      <c r="L36" s="158"/>
      <c r="M36" s="158"/>
      <c r="N36" s="158"/>
      <c r="O36" s="158" t="s">
        <v>83</v>
      </c>
      <c r="P36" s="158"/>
      <c r="Q36" s="158"/>
      <c r="R36" s="158"/>
      <c r="S36" s="158"/>
      <c r="T36" s="158"/>
      <c r="U36" s="144">
        <v>0</v>
      </c>
      <c r="V36" s="144">
        <v>0</v>
      </c>
      <c r="W36" s="144">
        <v>0</v>
      </c>
      <c r="X36" s="144">
        <v>0</v>
      </c>
      <c r="Y36" s="144">
        <v>0</v>
      </c>
      <c r="Z36" s="144">
        <v>0</v>
      </c>
      <c r="AA36" s="144">
        <v>0</v>
      </c>
      <c r="AB36" s="144">
        <v>0</v>
      </c>
      <c r="AC36" s="144">
        <v>0</v>
      </c>
      <c r="AD36" s="144">
        <v>0</v>
      </c>
      <c r="AE36" s="144">
        <v>0</v>
      </c>
      <c r="AF36" s="144">
        <v>0</v>
      </c>
    </row>
    <row r="37" spans="1:32" ht="25.5" x14ac:dyDescent="0.25">
      <c r="A37" s="146">
        <v>30</v>
      </c>
      <c r="B37" s="147" t="s">
        <v>142</v>
      </c>
      <c r="C37" s="156" t="s">
        <v>81</v>
      </c>
      <c r="D37" s="156"/>
      <c r="E37" s="156"/>
      <c r="F37" s="156"/>
      <c r="G37" s="156"/>
      <c r="H37" s="156"/>
      <c r="I37" s="156" t="s">
        <v>81</v>
      </c>
      <c r="J37" s="156"/>
      <c r="K37" s="156"/>
      <c r="L37" s="156"/>
      <c r="M37" s="156"/>
      <c r="N37" s="156"/>
      <c r="O37" s="156" t="s">
        <v>81</v>
      </c>
      <c r="P37" s="156"/>
      <c r="Q37" s="156"/>
      <c r="R37" s="156"/>
      <c r="S37" s="156"/>
      <c r="T37" s="156"/>
      <c r="U37" s="159" t="s">
        <v>82</v>
      </c>
      <c r="V37" s="159"/>
      <c r="W37" s="159"/>
      <c r="X37" s="159"/>
      <c r="Y37" s="159"/>
      <c r="Z37" s="159"/>
      <c r="AA37" s="148">
        <v>30.7</v>
      </c>
      <c r="AB37" s="148">
        <v>0</v>
      </c>
      <c r="AC37" s="148">
        <v>0</v>
      </c>
      <c r="AD37" s="148">
        <v>0</v>
      </c>
      <c r="AE37" s="148">
        <v>0</v>
      </c>
      <c r="AF37" s="148">
        <v>30.7</v>
      </c>
    </row>
    <row r="38" spans="1:32" s="41" customFormat="1" ht="25.5" x14ac:dyDescent="0.25">
      <c r="A38" s="142">
        <v>31</v>
      </c>
      <c r="B38" s="143" t="s">
        <v>127</v>
      </c>
      <c r="C38" s="158" t="s">
        <v>81</v>
      </c>
      <c r="D38" s="158"/>
      <c r="E38" s="158"/>
      <c r="F38" s="158"/>
      <c r="G38" s="158"/>
      <c r="H38" s="158"/>
      <c r="I38" s="158" t="s">
        <v>81</v>
      </c>
      <c r="J38" s="158"/>
      <c r="K38" s="158"/>
      <c r="L38" s="158"/>
      <c r="M38" s="158"/>
      <c r="N38" s="158"/>
      <c r="O38" s="158" t="s">
        <v>81</v>
      </c>
      <c r="P38" s="158"/>
      <c r="Q38" s="158"/>
      <c r="R38" s="158"/>
      <c r="S38" s="158"/>
      <c r="T38" s="158"/>
      <c r="U38" s="160" t="s">
        <v>82</v>
      </c>
      <c r="V38" s="160"/>
      <c r="W38" s="160"/>
      <c r="X38" s="160"/>
      <c r="Y38" s="160"/>
      <c r="Z38" s="160"/>
      <c r="AA38" s="161">
        <v>0</v>
      </c>
      <c r="AB38" s="161">
        <v>0</v>
      </c>
      <c r="AC38" s="161">
        <v>0</v>
      </c>
      <c r="AD38" s="161">
        <v>0</v>
      </c>
      <c r="AE38" s="161">
        <v>0</v>
      </c>
      <c r="AF38" s="161">
        <v>0</v>
      </c>
    </row>
    <row r="39" spans="1:32" ht="25.5" x14ac:dyDescent="0.25">
      <c r="A39" s="146">
        <v>32</v>
      </c>
      <c r="B39" s="147" t="s">
        <v>128</v>
      </c>
      <c r="C39" s="156" t="s">
        <v>81</v>
      </c>
      <c r="D39" s="156"/>
      <c r="E39" s="156"/>
      <c r="F39" s="156"/>
      <c r="G39" s="156"/>
      <c r="H39" s="156"/>
      <c r="I39" s="156" t="s">
        <v>81</v>
      </c>
      <c r="J39" s="156"/>
      <c r="K39" s="156"/>
      <c r="L39" s="156"/>
      <c r="M39" s="156"/>
      <c r="N39" s="156"/>
      <c r="O39" s="156" t="s">
        <v>81</v>
      </c>
      <c r="P39" s="156"/>
      <c r="Q39" s="156"/>
      <c r="R39" s="156"/>
      <c r="S39" s="156"/>
      <c r="T39" s="156"/>
      <c r="U39" s="159" t="s">
        <v>82</v>
      </c>
      <c r="V39" s="159"/>
      <c r="W39" s="159"/>
      <c r="X39" s="159"/>
      <c r="Y39" s="159"/>
      <c r="Z39" s="159"/>
      <c r="AA39" s="157">
        <v>0</v>
      </c>
      <c r="AB39" s="157">
        <v>0</v>
      </c>
      <c r="AC39" s="157">
        <v>0</v>
      </c>
      <c r="AD39" s="157">
        <v>0</v>
      </c>
      <c r="AE39" s="157">
        <v>0</v>
      </c>
      <c r="AF39" s="157">
        <v>0</v>
      </c>
    </row>
    <row r="40" spans="1:32" s="41" customFormat="1" x14ac:dyDescent="0.25">
      <c r="A40" s="142">
        <v>33</v>
      </c>
      <c r="B40" s="143" t="s">
        <v>90</v>
      </c>
      <c r="C40" s="144">
        <v>0</v>
      </c>
      <c r="D40" s="144">
        <v>0</v>
      </c>
      <c r="E40" s="144">
        <v>0</v>
      </c>
      <c r="F40" s="144">
        <v>0</v>
      </c>
      <c r="G40" s="144">
        <v>0</v>
      </c>
      <c r="H40" s="144">
        <v>0</v>
      </c>
      <c r="I40" s="144">
        <v>0</v>
      </c>
      <c r="J40" s="144">
        <v>0</v>
      </c>
      <c r="K40" s="144">
        <v>0</v>
      </c>
      <c r="L40" s="144">
        <v>0</v>
      </c>
      <c r="M40" s="144">
        <v>0</v>
      </c>
      <c r="N40" s="144">
        <v>0</v>
      </c>
      <c r="O40" s="145">
        <v>0</v>
      </c>
      <c r="P40" s="145">
        <v>0</v>
      </c>
      <c r="Q40" s="145">
        <v>0</v>
      </c>
      <c r="R40" s="145">
        <v>0</v>
      </c>
      <c r="S40" s="145">
        <v>0</v>
      </c>
      <c r="T40" s="145">
        <v>0</v>
      </c>
      <c r="U40" s="145">
        <v>0</v>
      </c>
      <c r="V40" s="145">
        <v>0</v>
      </c>
      <c r="W40" s="145">
        <v>0</v>
      </c>
      <c r="X40" s="145">
        <v>0</v>
      </c>
      <c r="Y40" s="145">
        <v>0</v>
      </c>
      <c r="Z40" s="145">
        <v>0</v>
      </c>
      <c r="AA40" s="144">
        <v>0</v>
      </c>
      <c r="AB40" s="144">
        <v>0</v>
      </c>
      <c r="AC40" s="144">
        <v>0</v>
      </c>
      <c r="AD40" s="144">
        <v>0</v>
      </c>
      <c r="AE40" s="144">
        <v>0</v>
      </c>
      <c r="AF40" s="144">
        <v>0</v>
      </c>
    </row>
    <row r="41" spans="1:32" x14ac:dyDescent="0.25">
      <c r="A41" s="146">
        <v>34</v>
      </c>
      <c r="B41" s="147" t="s">
        <v>70</v>
      </c>
      <c r="C41" s="148">
        <v>0</v>
      </c>
      <c r="D41" s="148">
        <v>0</v>
      </c>
      <c r="E41" s="148">
        <v>0</v>
      </c>
      <c r="F41" s="148">
        <v>0</v>
      </c>
      <c r="G41" s="148">
        <v>0</v>
      </c>
      <c r="H41" s="148">
        <v>0</v>
      </c>
      <c r="I41" s="148">
        <v>0</v>
      </c>
      <c r="J41" s="148">
        <v>0</v>
      </c>
      <c r="K41" s="148">
        <v>0</v>
      </c>
      <c r="L41" s="148">
        <v>0</v>
      </c>
      <c r="M41" s="148">
        <v>0</v>
      </c>
      <c r="N41" s="148">
        <v>0</v>
      </c>
      <c r="O41" s="149">
        <v>0</v>
      </c>
      <c r="P41" s="149">
        <v>0</v>
      </c>
      <c r="Q41" s="149">
        <v>0</v>
      </c>
      <c r="R41" s="149">
        <v>0</v>
      </c>
      <c r="S41" s="149">
        <v>0</v>
      </c>
      <c r="T41" s="149">
        <v>0</v>
      </c>
      <c r="U41" s="149">
        <v>0</v>
      </c>
      <c r="V41" s="149">
        <v>0</v>
      </c>
      <c r="W41" s="149">
        <v>0</v>
      </c>
      <c r="X41" s="149">
        <v>0</v>
      </c>
      <c r="Y41" s="149">
        <v>0</v>
      </c>
      <c r="Z41" s="149">
        <v>0</v>
      </c>
      <c r="AA41" s="148">
        <v>0</v>
      </c>
      <c r="AB41" s="148">
        <v>0</v>
      </c>
      <c r="AC41" s="148">
        <v>0</v>
      </c>
      <c r="AD41" s="148">
        <v>0</v>
      </c>
      <c r="AE41" s="148">
        <v>0</v>
      </c>
      <c r="AF41" s="148">
        <v>0</v>
      </c>
    </row>
    <row r="42" spans="1:32" s="41" customFormat="1" x14ac:dyDescent="0.25">
      <c r="A42" s="142">
        <v>35</v>
      </c>
      <c r="B42" s="143" t="s">
        <v>202</v>
      </c>
      <c r="C42" s="144">
        <v>47.6</v>
      </c>
      <c r="D42" s="144">
        <v>0</v>
      </c>
      <c r="E42" s="144">
        <v>0</v>
      </c>
      <c r="F42" s="144">
        <v>0</v>
      </c>
      <c r="G42" s="144">
        <v>0</v>
      </c>
      <c r="H42" s="144">
        <v>47.6</v>
      </c>
      <c r="I42" s="144">
        <v>40.25</v>
      </c>
      <c r="J42" s="144">
        <v>0</v>
      </c>
      <c r="K42" s="144">
        <v>0</v>
      </c>
      <c r="L42" s="144">
        <v>0</v>
      </c>
      <c r="M42" s="144">
        <v>0</v>
      </c>
      <c r="N42" s="144">
        <v>40.25</v>
      </c>
      <c r="O42" s="145">
        <v>32.31</v>
      </c>
      <c r="P42" s="145">
        <v>0</v>
      </c>
      <c r="Q42" s="145">
        <v>0</v>
      </c>
      <c r="R42" s="145">
        <v>0</v>
      </c>
      <c r="S42" s="145">
        <v>0</v>
      </c>
      <c r="T42" s="145">
        <v>32.31</v>
      </c>
      <c r="U42" s="145">
        <v>24.65</v>
      </c>
      <c r="V42" s="145">
        <v>0</v>
      </c>
      <c r="W42" s="145">
        <v>0</v>
      </c>
      <c r="X42" s="145">
        <v>0</v>
      </c>
      <c r="Y42" s="145">
        <v>0</v>
      </c>
      <c r="Z42" s="145">
        <v>24.65</v>
      </c>
      <c r="AA42" s="144">
        <v>0</v>
      </c>
      <c r="AB42" s="144">
        <v>0</v>
      </c>
      <c r="AC42" s="144">
        <v>0</v>
      </c>
      <c r="AD42" s="144">
        <v>0</v>
      </c>
      <c r="AE42" s="144">
        <v>0</v>
      </c>
      <c r="AF42" s="144">
        <v>0</v>
      </c>
    </row>
    <row r="43" spans="1:32" x14ac:dyDescent="0.25">
      <c r="A43" s="210" t="s">
        <v>94</v>
      </c>
      <c r="B43" s="211"/>
      <c r="C43" s="155">
        <f>SUM(C25:C42)</f>
        <v>1147.04</v>
      </c>
      <c r="D43" s="155">
        <f t="shared" ref="D43:H43" si="1">SUM(D25:D42)</f>
        <v>0</v>
      </c>
      <c r="E43" s="155">
        <f t="shared" si="1"/>
        <v>1029.44</v>
      </c>
      <c r="F43" s="155">
        <f t="shared" si="1"/>
        <v>0</v>
      </c>
      <c r="G43" s="155">
        <f t="shared" si="1"/>
        <v>0</v>
      </c>
      <c r="H43" s="155">
        <f t="shared" si="1"/>
        <v>117.6</v>
      </c>
      <c r="I43" s="155">
        <f t="shared" ref="I43" si="2">SUM(I25:I42)</f>
        <v>1541.84</v>
      </c>
      <c r="J43" s="155">
        <f t="shared" ref="J43" si="3">SUM(J25:J42)</f>
        <v>0</v>
      </c>
      <c r="K43" s="155">
        <f t="shared" ref="K43" si="4">SUM(K25:K42)</f>
        <v>1431.5900000000001</v>
      </c>
      <c r="L43" s="155">
        <f t="shared" ref="L43" si="5">SUM(L25:L42)</f>
        <v>0</v>
      </c>
      <c r="M43" s="155">
        <f t="shared" ref="M43" si="6">SUM(M25:M42)</f>
        <v>0</v>
      </c>
      <c r="N43" s="155">
        <f t="shared" ref="N43" si="7">SUM(N25:N42)</f>
        <v>110.25</v>
      </c>
      <c r="O43" s="155">
        <f t="shared" ref="O43" si="8">SUM(O25:O42)</f>
        <v>1904.83</v>
      </c>
      <c r="P43" s="155">
        <f t="shared" ref="P43" si="9">SUM(P25:P42)</f>
        <v>0</v>
      </c>
      <c r="Q43" s="155">
        <f t="shared" ref="Q43" si="10">SUM(Q25:Q42)</f>
        <v>1477.96</v>
      </c>
      <c r="R43" s="155">
        <f t="shared" ref="R43" si="11">SUM(R25:R42)</f>
        <v>0</v>
      </c>
      <c r="S43" s="155">
        <f t="shared" ref="S43" si="12">SUM(S25:S42)</f>
        <v>0</v>
      </c>
      <c r="T43" s="155">
        <f t="shared" ref="T43" si="13">SUM(T25:T42)</f>
        <v>426.87</v>
      </c>
      <c r="U43" s="155">
        <f t="shared" ref="U43" si="14">SUM(U25:U42)</f>
        <v>1794.83</v>
      </c>
      <c r="V43" s="155">
        <f t="shared" ref="V43" si="15">SUM(V25:V42)</f>
        <v>0</v>
      </c>
      <c r="W43" s="155">
        <f t="shared" ref="W43" si="16">SUM(W25:W42)</f>
        <v>313.90000000000003</v>
      </c>
      <c r="X43" s="155">
        <f t="shared" ref="X43" si="17">SUM(X25:X42)</f>
        <v>0</v>
      </c>
      <c r="Y43" s="155">
        <f t="shared" ref="Y43" si="18">SUM(Y25:Y42)</f>
        <v>0</v>
      </c>
      <c r="Z43" s="155">
        <f t="shared" ref="Z43" si="19">SUM(Z25:Z42)</f>
        <v>1480.93</v>
      </c>
      <c r="AA43" s="155">
        <f t="shared" ref="AA43" si="20">SUM(AA25:AA42)</f>
        <v>1899.7720000000002</v>
      </c>
      <c r="AB43" s="155">
        <f t="shared" ref="AB43" si="21">SUM(AB25:AB42)</f>
        <v>0</v>
      </c>
      <c r="AC43" s="155">
        <f t="shared" ref="AC43" si="22">SUM(AC25:AC42)</f>
        <v>344.65</v>
      </c>
      <c r="AD43" s="155">
        <f t="shared" ref="AD43" si="23">SUM(AD25:AD42)</f>
        <v>0</v>
      </c>
      <c r="AE43" s="155">
        <f t="shared" ref="AE43" si="24">SUM(AE25:AE42)</f>
        <v>0</v>
      </c>
      <c r="AF43" s="155">
        <f t="shared" ref="AF43" si="25">SUM(AF25:AF42)</f>
        <v>1555.1220000000001</v>
      </c>
    </row>
    <row r="44" spans="1:32" s="41" customFormat="1" x14ac:dyDescent="0.25">
      <c r="A44" s="212" t="s">
        <v>48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4"/>
    </row>
    <row r="45" spans="1:32" ht="38.25" x14ac:dyDescent="0.25">
      <c r="A45" s="162">
        <v>36</v>
      </c>
      <c r="B45" s="147" t="s">
        <v>20</v>
      </c>
      <c r="C45" s="148">
        <v>0</v>
      </c>
      <c r="D45" s="148">
        <v>0</v>
      </c>
      <c r="E45" s="148">
        <v>0</v>
      </c>
      <c r="F45" s="148">
        <v>0</v>
      </c>
      <c r="G45" s="148">
        <v>0</v>
      </c>
      <c r="H45" s="148">
        <v>0</v>
      </c>
      <c r="I45" s="148">
        <v>0</v>
      </c>
      <c r="J45" s="148">
        <v>0</v>
      </c>
      <c r="K45" s="148">
        <v>0</v>
      </c>
      <c r="L45" s="148">
        <v>0</v>
      </c>
      <c r="M45" s="148">
        <v>0</v>
      </c>
      <c r="N45" s="148">
        <v>0</v>
      </c>
      <c r="O45" s="149">
        <v>0</v>
      </c>
      <c r="P45" s="149">
        <v>0</v>
      </c>
      <c r="Q45" s="149">
        <v>0</v>
      </c>
      <c r="R45" s="149">
        <v>0</v>
      </c>
      <c r="S45" s="149">
        <v>0</v>
      </c>
      <c r="T45" s="149">
        <v>0</v>
      </c>
      <c r="U45" s="149">
        <v>44.96</v>
      </c>
      <c r="V45" s="149">
        <v>44.96</v>
      </c>
      <c r="W45" s="149">
        <v>0</v>
      </c>
      <c r="X45" s="149">
        <v>0</v>
      </c>
      <c r="Y45" s="149">
        <v>0</v>
      </c>
      <c r="Z45" s="149">
        <v>0</v>
      </c>
      <c r="AA45" s="148">
        <v>45.9</v>
      </c>
      <c r="AB45" s="148">
        <v>45.9</v>
      </c>
      <c r="AC45" s="148">
        <v>0</v>
      </c>
      <c r="AD45" s="148">
        <v>0</v>
      </c>
      <c r="AE45" s="148">
        <v>0</v>
      </c>
      <c r="AF45" s="148">
        <v>0</v>
      </c>
    </row>
    <row r="46" spans="1:32" s="41" customFormat="1" ht="25.5" x14ac:dyDescent="0.25">
      <c r="A46" s="142">
        <v>37</v>
      </c>
      <c r="B46" s="143" t="s">
        <v>73</v>
      </c>
      <c r="C46" s="144">
        <v>0</v>
      </c>
      <c r="D46" s="144">
        <v>0</v>
      </c>
      <c r="E46" s="144">
        <v>0</v>
      </c>
      <c r="F46" s="144">
        <v>0</v>
      </c>
      <c r="G46" s="144">
        <v>0</v>
      </c>
      <c r="H46" s="144">
        <v>0</v>
      </c>
      <c r="I46" s="144">
        <v>0</v>
      </c>
      <c r="J46" s="144">
        <v>0</v>
      </c>
      <c r="K46" s="144">
        <v>0</v>
      </c>
      <c r="L46" s="144">
        <v>0</v>
      </c>
      <c r="M46" s="144">
        <v>0</v>
      </c>
      <c r="N46" s="144">
        <v>0</v>
      </c>
      <c r="O46" s="145">
        <v>0</v>
      </c>
      <c r="P46" s="145">
        <v>0</v>
      </c>
      <c r="Q46" s="145">
        <v>0</v>
      </c>
      <c r="R46" s="145">
        <v>0</v>
      </c>
      <c r="S46" s="145">
        <v>0</v>
      </c>
      <c r="T46" s="145">
        <v>0</v>
      </c>
      <c r="U46" s="145">
        <v>0</v>
      </c>
      <c r="V46" s="145">
        <v>0</v>
      </c>
      <c r="W46" s="145">
        <v>0</v>
      </c>
      <c r="X46" s="145">
        <v>0</v>
      </c>
      <c r="Y46" s="145">
        <v>0</v>
      </c>
      <c r="Z46" s="145">
        <v>0</v>
      </c>
      <c r="AA46" s="144">
        <v>0</v>
      </c>
      <c r="AB46" s="144">
        <v>0</v>
      </c>
      <c r="AC46" s="144">
        <v>0</v>
      </c>
      <c r="AD46" s="144">
        <v>0</v>
      </c>
      <c r="AE46" s="144">
        <v>0</v>
      </c>
      <c r="AF46" s="144">
        <v>0</v>
      </c>
    </row>
    <row r="47" spans="1:32" ht="25.5" x14ac:dyDescent="0.25">
      <c r="A47" s="146">
        <v>38</v>
      </c>
      <c r="B47" s="147" t="s">
        <v>69</v>
      </c>
      <c r="C47" s="148">
        <v>47.84</v>
      </c>
      <c r="D47" s="148">
        <v>0</v>
      </c>
      <c r="E47" s="148">
        <v>14</v>
      </c>
      <c r="F47" s="148">
        <v>0</v>
      </c>
      <c r="G47" s="148">
        <v>0</v>
      </c>
      <c r="H47" s="148">
        <v>33.840000000000003</v>
      </c>
      <c r="I47" s="148">
        <v>35.340000000000003</v>
      </c>
      <c r="J47" s="148">
        <v>0</v>
      </c>
      <c r="K47" s="148">
        <v>11.2</v>
      </c>
      <c r="L47" s="148">
        <v>0</v>
      </c>
      <c r="M47" s="148">
        <v>0</v>
      </c>
      <c r="N47" s="148">
        <v>24.14</v>
      </c>
      <c r="O47" s="149">
        <v>32.200000000000003</v>
      </c>
      <c r="P47" s="149">
        <v>0</v>
      </c>
      <c r="Q47" s="149">
        <v>5.6</v>
      </c>
      <c r="R47" s="149">
        <v>0</v>
      </c>
      <c r="S47" s="149">
        <v>0</v>
      </c>
      <c r="T47" s="149">
        <v>26.6</v>
      </c>
      <c r="U47" s="149">
        <v>16.940000000000001</v>
      </c>
      <c r="V47" s="149">
        <v>0</v>
      </c>
      <c r="W47" s="149">
        <v>0</v>
      </c>
      <c r="X47" s="149">
        <v>0</v>
      </c>
      <c r="Y47" s="149">
        <v>0</v>
      </c>
      <c r="Z47" s="149">
        <v>16.940000000000001</v>
      </c>
      <c r="AA47" s="148">
        <v>7.16</v>
      </c>
      <c r="AB47" s="148">
        <v>0</v>
      </c>
      <c r="AC47" s="148">
        <v>0</v>
      </c>
      <c r="AD47" s="148">
        <v>0</v>
      </c>
      <c r="AE47" s="148">
        <v>0</v>
      </c>
      <c r="AF47" s="148">
        <v>7.16</v>
      </c>
    </row>
    <row r="48" spans="1:32" s="41" customFormat="1" ht="25.5" x14ac:dyDescent="0.25">
      <c r="A48" s="142">
        <v>39</v>
      </c>
      <c r="B48" s="143" t="s">
        <v>22</v>
      </c>
      <c r="C48" s="144">
        <v>0</v>
      </c>
      <c r="D48" s="144">
        <v>0</v>
      </c>
      <c r="E48" s="144">
        <v>0</v>
      </c>
      <c r="F48" s="144">
        <v>0</v>
      </c>
      <c r="G48" s="144">
        <v>0</v>
      </c>
      <c r="H48" s="144">
        <v>0</v>
      </c>
      <c r="I48" s="144">
        <v>0</v>
      </c>
      <c r="J48" s="144">
        <v>0</v>
      </c>
      <c r="K48" s="144">
        <v>0</v>
      </c>
      <c r="L48" s="144">
        <v>0</v>
      </c>
      <c r="M48" s="144">
        <v>0</v>
      </c>
      <c r="N48" s="144">
        <v>0</v>
      </c>
      <c r="O48" s="145">
        <v>0</v>
      </c>
      <c r="P48" s="145">
        <v>0</v>
      </c>
      <c r="Q48" s="145">
        <v>0</v>
      </c>
      <c r="R48" s="145">
        <v>0</v>
      </c>
      <c r="S48" s="145">
        <v>0</v>
      </c>
      <c r="T48" s="145">
        <v>0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4">
        <v>0</v>
      </c>
      <c r="AB48" s="144">
        <v>0</v>
      </c>
      <c r="AC48" s="144">
        <v>0</v>
      </c>
      <c r="AD48" s="144">
        <v>0</v>
      </c>
      <c r="AE48" s="144">
        <v>0</v>
      </c>
      <c r="AF48" s="144">
        <v>0</v>
      </c>
    </row>
    <row r="49" spans="1:32" ht="38.25" x14ac:dyDescent="0.25">
      <c r="A49" s="146">
        <v>40</v>
      </c>
      <c r="B49" s="147" t="s">
        <v>68</v>
      </c>
      <c r="C49" s="148">
        <v>0</v>
      </c>
      <c r="D49" s="148">
        <v>0</v>
      </c>
      <c r="E49" s="148">
        <v>0</v>
      </c>
      <c r="F49" s="148">
        <v>0</v>
      </c>
      <c r="G49" s="148">
        <v>0</v>
      </c>
      <c r="H49" s="148">
        <v>0</v>
      </c>
      <c r="I49" s="148">
        <v>0</v>
      </c>
      <c r="J49" s="148">
        <v>0</v>
      </c>
      <c r="K49" s="148">
        <v>0</v>
      </c>
      <c r="L49" s="148">
        <v>0</v>
      </c>
      <c r="M49" s="148">
        <v>0</v>
      </c>
      <c r="N49" s="148">
        <v>0</v>
      </c>
      <c r="O49" s="149">
        <v>0</v>
      </c>
      <c r="P49" s="149">
        <v>0</v>
      </c>
      <c r="Q49" s="149">
        <v>0</v>
      </c>
      <c r="R49" s="149">
        <v>0</v>
      </c>
      <c r="S49" s="149">
        <v>0</v>
      </c>
      <c r="T49" s="149">
        <v>0</v>
      </c>
      <c r="U49" s="149">
        <v>100</v>
      </c>
      <c r="V49" s="149">
        <v>0</v>
      </c>
      <c r="W49" s="149">
        <v>0</v>
      </c>
      <c r="X49" s="149">
        <v>0</v>
      </c>
      <c r="Y49" s="149">
        <v>0</v>
      </c>
      <c r="Z49" s="149">
        <v>100</v>
      </c>
      <c r="AA49" s="148">
        <v>200</v>
      </c>
      <c r="AB49" s="148">
        <v>0</v>
      </c>
      <c r="AC49" s="148">
        <v>0</v>
      </c>
      <c r="AD49" s="148">
        <v>0</v>
      </c>
      <c r="AE49" s="148">
        <v>0</v>
      </c>
      <c r="AF49" s="148">
        <v>200</v>
      </c>
    </row>
    <row r="50" spans="1:32" s="41" customFormat="1" x14ac:dyDescent="0.25">
      <c r="A50" s="208" t="s">
        <v>18</v>
      </c>
      <c r="B50" s="209"/>
      <c r="C50" s="141">
        <f>SUM(C45:C49)</f>
        <v>47.84</v>
      </c>
      <c r="D50" s="141">
        <f t="shared" ref="D50:AF50" si="26">SUM(D45:D49)</f>
        <v>0</v>
      </c>
      <c r="E50" s="141">
        <f t="shared" si="26"/>
        <v>14</v>
      </c>
      <c r="F50" s="141">
        <f t="shared" si="26"/>
        <v>0</v>
      </c>
      <c r="G50" s="141">
        <f t="shared" si="26"/>
        <v>0</v>
      </c>
      <c r="H50" s="141">
        <f t="shared" si="26"/>
        <v>33.840000000000003</v>
      </c>
      <c r="I50" s="141">
        <f t="shared" si="26"/>
        <v>35.340000000000003</v>
      </c>
      <c r="J50" s="141">
        <f t="shared" si="26"/>
        <v>0</v>
      </c>
      <c r="K50" s="141">
        <f t="shared" si="26"/>
        <v>11.2</v>
      </c>
      <c r="L50" s="141">
        <f t="shared" si="26"/>
        <v>0</v>
      </c>
      <c r="M50" s="141">
        <f t="shared" si="26"/>
        <v>0</v>
      </c>
      <c r="N50" s="141">
        <f t="shared" si="26"/>
        <v>24.14</v>
      </c>
      <c r="O50" s="141">
        <f t="shared" si="26"/>
        <v>32.200000000000003</v>
      </c>
      <c r="P50" s="141">
        <f t="shared" si="26"/>
        <v>0</v>
      </c>
      <c r="Q50" s="141">
        <f t="shared" si="26"/>
        <v>5.6</v>
      </c>
      <c r="R50" s="141">
        <f t="shared" si="26"/>
        <v>0</v>
      </c>
      <c r="S50" s="141">
        <f t="shared" si="26"/>
        <v>0</v>
      </c>
      <c r="T50" s="141">
        <f t="shared" si="26"/>
        <v>26.6</v>
      </c>
      <c r="U50" s="141">
        <f t="shared" si="26"/>
        <v>161.9</v>
      </c>
      <c r="V50" s="141">
        <f t="shared" si="26"/>
        <v>44.96</v>
      </c>
      <c r="W50" s="141">
        <f t="shared" si="26"/>
        <v>0</v>
      </c>
      <c r="X50" s="141">
        <f t="shared" si="26"/>
        <v>0</v>
      </c>
      <c r="Y50" s="141">
        <f t="shared" si="26"/>
        <v>0</v>
      </c>
      <c r="Z50" s="141">
        <f t="shared" si="26"/>
        <v>116.94</v>
      </c>
      <c r="AA50" s="141">
        <f t="shared" si="26"/>
        <v>253.06</v>
      </c>
      <c r="AB50" s="141">
        <f t="shared" si="26"/>
        <v>45.9</v>
      </c>
      <c r="AC50" s="141">
        <f t="shared" si="26"/>
        <v>0</v>
      </c>
      <c r="AD50" s="141">
        <f t="shared" si="26"/>
        <v>0</v>
      </c>
      <c r="AE50" s="141">
        <f t="shared" si="26"/>
        <v>0</v>
      </c>
      <c r="AF50" s="141">
        <f t="shared" si="26"/>
        <v>207.16</v>
      </c>
    </row>
    <row r="51" spans="1:32" ht="25.5" x14ac:dyDescent="0.25">
      <c r="A51" s="162">
        <v>41</v>
      </c>
      <c r="B51" s="147" t="s">
        <v>24</v>
      </c>
      <c r="C51" s="148">
        <v>1094.3499999999999</v>
      </c>
      <c r="D51" s="148">
        <v>0</v>
      </c>
      <c r="E51" s="148">
        <v>0</v>
      </c>
      <c r="F51" s="148">
        <v>0</v>
      </c>
      <c r="G51" s="148">
        <v>0</v>
      </c>
      <c r="H51" s="148">
        <v>1094.3499999999999</v>
      </c>
      <c r="I51" s="148">
        <v>1306.2</v>
      </c>
      <c r="J51" s="148">
        <v>0</v>
      </c>
      <c r="K51" s="148">
        <v>0</v>
      </c>
      <c r="L51" s="148">
        <v>0</v>
      </c>
      <c r="M51" s="148">
        <v>0</v>
      </c>
      <c r="N51" s="148">
        <v>1306.2</v>
      </c>
      <c r="O51" s="149">
        <v>1451.61</v>
      </c>
      <c r="P51" s="149">
        <v>0</v>
      </c>
      <c r="Q51" s="149">
        <v>0</v>
      </c>
      <c r="R51" s="149">
        <v>0</v>
      </c>
      <c r="S51" s="149">
        <v>0</v>
      </c>
      <c r="T51" s="149">
        <v>1451.61</v>
      </c>
      <c r="U51" s="149">
        <v>1200.03</v>
      </c>
      <c r="V51" s="149">
        <v>0</v>
      </c>
      <c r="W51" s="149">
        <v>0</v>
      </c>
      <c r="X51" s="149">
        <v>0</v>
      </c>
      <c r="Y51" s="149">
        <v>0</v>
      </c>
      <c r="Z51" s="149">
        <v>1200.03</v>
      </c>
      <c r="AA51" s="148">
        <v>1200.03</v>
      </c>
      <c r="AB51" s="148">
        <v>0</v>
      </c>
      <c r="AC51" s="148">
        <v>0</v>
      </c>
      <c r="AD51" s="148">
        <v>0</v>
      </c>
      <c r="AE51" s="148">
        <v>0</v>
      </c>
      <c r="AF51" s="148">
        <v>1200.03</v>
      </c>
    </row>
    <row r="52" spans="1:32" s="41" customFormat="1" ht="25.5" x14ac:dyDescent="0.25">
      <c r="A52" s="142">
        <v>42</v>
      </c>
      <c r="B52" s="143" t="s">
        <v>116</v>
      </c>
      <c r="C52" s="144">
        <v>133.49</v>
      </c>
      <c r="D52" s="144">
        <v>0</v>
      </c>
      <c r="E52" s="144">
        <v>0</v>
      </c>
      <c r="F52" s="144">
        <v>0</v>
      </c>
      <c r="G52" s="144">
        <v>0</v>
      </c>
      <c r="H52" s="144">
        <v>133.49</v>
      </c>
      <c r="I52" s="144">
        <v>105.49</v>
      </c>
      <c r="J52" s="144">
        <v>0</v>
      </c>
      <c r="K52" s="144">
        <v>0</v>
      </c>
      <c r="L52" s="144">
        <v>0</v>
      </c>
      <c r="M52" s="144">
        <v>0</v>
      </c>
      <c r="N52" s="144">
        <v>105.49</v>
      </c>
      <c r="O52" s="145">
        <v>77.75</v>
      </c>
      <c r="P52" s="145">
        <v>0</v>
      </c>
      <c r="Q52" s="145">
        <v>0</v>
      </c>
      <c r="R52" s="145">
        <v>0</v>
      </c>
      <c r="S52" s="145">
        <v>0</v>
      </c>
      <c r="T52" s="145">
        <v>77.75</v>
      </c>
      <c r="U52" s="145">
        <v>63.97</v>
      </c>
      <c r="V52" s="145">
        <v>0</v>
      </c>
      <c r="W52" s="145">
        <v>0</v>
      </c>
      <c r="X52" s="145">
        <v>0</v>
      </c>
      <c r="Y52" s="145">
        <v>0</v>
      </c>
      <c r="Z52" s="145">
        <v>63.97</v>
      </c>
      <c r="AA52" s="144">
        <v>15.67</v>
      </c>
      <c r="AB52" s="144">
        <v>0</v>
      </c>
      <c r="AC52" s="144">
        <v>0</v>
      </c>
      <c r="AD52" s="144">
        <v>0</v>
      </c>
      <c r="AE52" s="144">
        <v>0</v>
      </c>
      <c r="AF52" s="144">
        <v>15.67</v>
      </c>
    </row>
    <row r="53" spans="1:32" ht="25.5" x14ac:dyDescent="0.25">
      <c r="A53" s="146">
        <v>43</v>
      </c>
      <c r="B53" s="147" t="s">
        <v>132</v>
      </c>
      <c r="C53" s="148">
        <v>1074.97</v>
      </c>
      <c r="D53" s="148">
        <v>0</v>
      </c>
      <c r="E53" s="148">
        <v>0</v>
      </c>
      <c r="F53" s="148">
        <v>0</v>
      </c>
      <c r="G53" s="148">
        <v>0</v>
      </c>
      <c r="H53" s="148">
        <v>1074.97</v>
      </c>
      <c r="I53" s="148">
        <v>1042.72</v>
      </c>
      <c r="J53" s="148">
        <v>0</v>
      </c>
      <c r="K53" s="148">
        <v>0</v>
      </c>
      <c r="L53" s="148">
        <v>0</v>
      </c>
      <c r="M53" s="148">
        <v>0</v>
      </c>
      <c r="N53" s="148">
        <v>1042.72</v>
      </c>
      <c r="O53" s="149">
        <v>991.66</v>
      </c>
      <c r="P53" s="149">
        <v>0</v>
      </c>
      <c r="Q53" s="149">
        <v>0</v>
      </c>
      <c r="R53" s="149">
        <v>0</v>
      </c>
      <c r="S53" s="149">
        <v>0</v>
      </c>
      <c r="T53" s="149">
        <v>991.66</v>
      </c>
      <c r="U53" s="149">
        <v>925.52</v>
      </c>
      <c r="V53" s="149">
        <v>0</v>
      </c>
      <c r="W53" s="149">
        <v>0</v>
      </c>
      <c r="X53" s="149">
        <v>0</v>
      </c>
      <c r="Y53" s="149">
        <v>0</v>
      </c>
      <c r="Z53" s="149">
        <v>925.52</v>
      </c>
      <c r="AA53" s="148">
        <v>850.41</v>
      </c>
      <c r="AB53" s="148">
        <v>0</v>
      </c>
      <c r="AC53" s="148">
        <v>0</v>
      </c>
      <c r="AD53" s="148">
        <v>0</v>
      </c>
      <c r="AE53" s="148">
        <v>0</v>
      </c>
      <c r="AF53" s="148">
        <v>850.41</v>
      </c>
    </row>
    <row r="54" spans="1:32" s="41" customFormat="1" ht="25.5" x14ac:dyDescent="0.25">
      <c r="A54" s="142">
        <v>44</v>
      </c>
      <c r="B54" s="143" t="s">
        <v>25</v>
      </c>
      <c r="C54" s="144">
        <v>0</v>
      </c>
      <c r="D54" s="144">
        <v>0</v>
      </c>
      <c r="E54" s="144">
        <v>0</v>
      </c>
      <c r="F54" s="144">
        <v>0</v>
      </c>
      <c r="G54" s="144">
        <v>0</v>
      </c>
      <c r="H54" s="144">
        <v>0</v>
      </c>
      <c r="I54" s="144">
        <v>0</v>
      </c>
      <c r="J54" s="144">
        <v>0</v>
      </c>
      <c r="K54" s="144">
        <v>0</v>
      </c>
      <c r="L54" s="144">
        <v>0</v>
      </c>
      <c r="M54" s="144">
        <v>0</v>
      </c>
      <c r="N54" s="144">
        <v>0</v>
      </c>
      <c r="O54" s="145">
        <v>276.14999999999998</v>
      </c>
      <c r="P54" s="145">
        <v>0</v>
      </c>
      <c r="Q54" s="145">
        <v>0</v>
      </c>
      <c r="R54" s="145">
        <v>0</v>
      </c>
      <c r="S54" s="145">
        <v>0</v>
      </c>
      <c r="T54" s="145">
        <v>276.14999999999998</v>
      </c>
      <c r="U54" s="145">
        <v>938.4</v>
      </c>
      <c r="V54" s="145">
        <v>0</v>
      </c>
      <c r="W54" s="145">
        <v>0</v>
      </c>
      <c r="X54" s="145">
        <v>0</v>
      </c>
      <c r="Y54" s="145">
        <v>0</v>
      </c>
      <c r="Z54" s="145">
        <v>938.4</v>
      </c>
      <c r="AA54" s="144">
        <v>999.63</v>
      </c>
      <c r="AB54" s="144">
        <v>0</v>
      </c>
      <c r="AC54" s="144">
        <v>0</v>
      </c>
      <c r="AD54" s="144">
        <v>0</v>
      </c>
      <c r="AE54" s="144">
        <v>0</v>
      </c>
      <c r="AF54" s="144">
        <v>999.63</v>
      </c>
    </row>
    <row r="55" spans="1:32" ht="25.5" x14ac:dyDescent="0.25">
      <c r="A55" s="146">
        <v>45</v>
      </c>
      <c r="B55" s="147" t="s">
        <v>26</v>
      </c>
      <c r="C55" s="148">
        <v>282.61</v>
      </c>
      <c r="D55" s="148">
        <v>0</v>
      </c>
      <c r="E55" s="148">
        <v>0</v>
      </c>
      <c r="F55" s="148">
        <v>0</v>
      </c>
      <c r="G55" s="148">
        <v>0</v>
      </c>
      <c r="H55" s="148">
        <v>282.61</v>
      </c>
      <c r="I55" s="148">
        <v>445.61</v>
      </c>
      <c r="J55" s="148">
        <v>0</v>
      </c>
      <c r="K55" s="148">
        <v>0</v>
      </c>
      <c r="L55" s="148">
        <v>0</v>
      </c>
      <c r="M55" s="148">
        <v>0</v>
      </c>
      <c r="N55" s="148">
        <v>445.61</v>
      </c>
      <c r="O55" s="149">
        <v>798.4</v>
      </c>
      <c r="P55" s="149">
        <v>0</v>
      </c>
      <c r="Q55" s="149">
        <v>0</v>
      </c>
      <c r="R55" s="149">
        <v>0</v>
      </c>
      <c r="S55" s="149">
        <v>0</v>
      </c>
      <c r="T55" s="149">
        <v>798.4</v>
      </c>
      <c r="U55" s="149">
        <v>1373.42</v>
      </c>
      <c r="V55" s="149">
        <v>0</v>
      </c>
      <c r="W55" s="149">
        <v>0</v>
      </c>
      <c r="X55" s="149">
        <v>0</v>
      </c>
      <c r="Y55" s="149">
        <v>0</v>
      </c>
      <c r="Z55" s="149">
        <v>1373.42</v>
      </c>
      <c r="AA55" s="148">
        <v>1934.36</v>
      </c>
      <c r="AB55" s="148">
        <v>0</v>
      </c>
      <c r="AC55" s="148">
        <v>0</v>
      </c>
      <c r="AD55" s="148">
        <v>0</v>
      </c>
      <c r="AE55" s="148">
        <v>0</v>
      </c>
      <c r="AF55" s="148">
        <v>1934.36</v>
      </c>
    </row>
    <row r="56" spans="1:32" s="41" customFormat="1" ht="25.5" x14ac:dyDescent="0.25">
      <c r="A56" s="142">
        <v>46</v>
      </c>
      <c r="B56" s="143" t="s">
        <v>27</v>
      </c>
      <c r="C56" s="144">
        <v>0</v>
      </c>
      <c r="D56" s="144">
        <v>0</v>
      </c>
      <c r="E56" s="144">
        <v>0</v>
      </c>
      <c r="F56" s="144">
        <v>0</v>
      </c>
      <c r="G56" s="144">
        <v>0</v>
      </c>
      <c r="H56" s="144">
        <v>0</v>
      </c>
      <c r="I56" s="144">
        <v>0</v>
      </c>
      <c r="J56" s="144">
        <v>0</v>
      </c>
      <c r="K56" s="144">
        <v>0</v>
      </c>
      <c r="L56" s="144">
        <v>0</v>
      </c>
      <c r="M56" s="144">
        <v>0</v>
      </c>
      <c r="N56" s="144">
        <v>0</v>
      </c>
      <c r="O56" s="145">
        <v>0</v>
      </c>
      <c r="P56" s="145">
        <v>0</v>
      </c>
      <c r="Q56" s="145">
        <v>0</v>
      </c>
      <c r="R56" s="145">
        <v>0</v>
      </c>
      <c r="S56" s="145">
        <v>0</v>
      </c>
      <c r="T56" s="145">
        <v>0</v>
      </c>
      <c r="U56" s="145">
        <v>0</v>
      </c>
      <c r="V56" s="145">
        <v>0</v>
      </c>
      <c r="W56" s="145">
        <v>0</v>
      </c>
      <c r="X56" s="145">
        <v>0</v>
      </c>
      <c r="Y56" s="145">
        <v>0</v>
      </c>
      <c r="Z56" s="145">
        <v>0</v>
      </c>
      <c r="AA56" s="144">
        <v>0</v>
      </c>
      <c r="AB56" s="144">
        <v>0</v>
      </c>
      <c r="AC56" s="144">
        <v>0</v>
      </c>
      <c r="AD56" s="144">
        <v>0</v>
      </c>
      <c r="AE56" s="144">
        <v>0</v>
      </c>
      <c r="AF56" s="144">
        <v>0</v>
      </c>
    </row>
    <row r="57" spans="1:32" ht="38.25" x14ac:dyDescent="0.25">
      <c r="A57" s="146">
        <v>47</v>
      </c>
      <c r="B57" s="147" t="s">
        <v>28</v>
      </c>
      <c r="C57" s="148">
        <v>0</v>
      </c>
      <c r="D57" s="148">
        <v>0</v>
      </c>
      <c r="E57" s="148">
        <v>0</v>
      </c>
      <c r="F57" s="148">
        <v>0</v>
      </c>
      <c r="G57" s="148">
        <v>0</v>
      </c>
      <c r="H57" s="148">
        <v>0</v>
      </c>
      <c r="I57" s="148">
        <v>0</v>
      </c>
      <c r="J57" s="148">
        <v>0</v>
      </c>
      <c r="K57" s="148">
        <v>0</v>
      </c>
      <c r="L57" s="148">
        <v>0</v>
      </c>
      <c r="M57" s="148">
        <v>0</v>
      </c>
      <c r="N57" s="148">
        <v>0</v>
      </c>
      <c r="O57" s="149">
        <v>0</v>
      </c>
      <c r="P57" s="149">
        <v>0</v>
      </c>
      <c r="Q57" s="149">
        <v>0</v>
      </c>
      <c r="R57" s="149">
        <v>0</v>
      </c>
      <c r="S57" s="149">
        <v>0</v>
      </c>
      <c r="T57" s="149">
        <v>0</v>
      </c>
      <c r="U57" s="149">
        <v>0</v>
      </c>
      <c r="V57" s="149">
        <v>0</v>
      </c>
      <c r="W57" s="149">
        <v>0</v>
      </c>
      <c r="X57" s="149">
        <v>0</v>
      </c>
      <c r="Y57" s="149">
        <v>0</v>
      </c>
      <c r="Z57" s="149">
        <v>0</v>
      </c>
      <c r="AA57" s="148">
        <v>0</v>
      </c>
      <c r="AB57" s="148">
        <v>0</v>
      </c>
      <c r="AC57" s="148">
        <v>0</v>
      </c>
      <c r="AD57" s="148">
        <v>0</v>
      </c>
      <c r="AE57" s="148">
        <v>0</v>
      </c>
      <c r="AF57" s="148">
        <v>0</v>
      </c>
    </row>
    <row r="58" spans="1:32" s="41" customFormat="1" x14ac:dyDescent="0.25">
      <c r="A58" s="142"/>
      <c r="B58" s="140" t="s">
        <v>18</v>
      </c>
      <c r="C58" s="141">
        <f>SUM(C51:C57)</f>
        <v>2585.42</v>
      </c>
      <c r="D58" s="141">
        <f t="shared" ref="D58:N58" si="27">SUM(D51:D57)</f>
        <v>0</v>
      </c>
      <c r="E58" s="141">
        <f t="shared" si="27"/>
        <v>0</v>
      </c>
      <c r="F58" s="141">
        <f t="shared" si="27"/>
        <v>0</v>
      </c>
      <c r="G58" s="141">
        <f t="shared" si="27"/>
        <v>0</v>
      </c>
      <c r="H58" s="141">
        <f t="shared" si="27"/>
        <v>2585.42</v>
      </c>
      <c r="I58" s="141">
        <f t="shared" si="27"/>
        <v>2900.02</v>
      </c>
      <c r="J58" s="141">
        <f t="shared" si="27"/>
        <v>0</v>
      </c>
      <c r="K58" s="141">
        <f t="shared" si="27"/>
        <v>0</v>
      </c>
      <c r="L58" s="141">
        <f t="shared" si="27"/>
        <v>0</v>
      </c>
      <c r="M58" s="141">
        <f t="shared" si="27"/>
        <v>0</v>
      </c>
      <c r="N58" s="141">
        <f t="shared" si="27"/>
        <v>2900.02</v>
      </c>
      <c r="O58" s="141">
        <f t="shared" ref="O58" si="28">SUM(O51:O57)</f>
        <v>3595.57</v>
      </c>
      <c r="P58" s="141">
        <f t="shared" ref="P58" si="29">SUM(P51:P57)</f>
        <v>0</v>
      </c>
      <c r="Q58" s="141">
        <f t="shared" ref="Q58" si="30">SUM(Q51:Q57)</f>
        <v>0</v>
      </c>
      <c r="R58" s="141">
        <f t="shared" ref="R58" si="31">SUM(R51:R57)</f>
        <v>0</v>
      </c>
      <c r="S58" s="141">
        <f t="shared" ref="S58" si="32">SUM(S51:S57)</f>
        <v>0</v>
      </c>
      <c r="T58" s="141">
        <f t="shared" ref="T58" si="33">SUM(T51:T57)</f>
        <v>3595.57</v>
      </c>
      <c r="U58" s="141">
        <f t="shared" ref="U58" si="34">SUM(U51:U57)</f>
        <v>4501.34</v>
      </c>
      <c r="V58" s="141">
        <f t="shared" ref="V58" si="35">SUM(V51:V57)</f>
        <v>0</v>
      </c>
      <c r="W58" s="141">
        <f t="shared" ref="W58" si="36">SUM(W51:W57)</f>
        <v>0</v>
      </c>
      <c r="X58" s="141">
        <f t="shared" ref="X58" si="37">SUM(X51:X57)</f>
        <v>0</v>
      </c>
      <c r="Y58" s="141">
        <f t="shared" ref="Y58" si="38">SUM(Y51:Y57)</f>
        <v>0</v>
      </c>
      <c r="Z58" s="141">
        <f t="shared" ref="Z58" si="39">SUM(Z51:Z57)</f>
        <v>4501.34</v>
      </c>
      <c r="AA58" s="141">
        <f t="shared" ref="AA58" si="40">SUM(AA51:AA57)</f>
        <v>5000.1000000000004</v>
      </c>
      <c r="AB58" s="141">
        <f t="shared" ref="AB58" si="41">SUM(AB51:AB57)</f>
        <v>0</v>
      </c>
      <c r="AC58" s="141">
        <f t="shared" ref="AC58" si="42">SUM(AC51:AC57)</f>
        <v>0</v>
      </c>
      <c r="AD58" s="141">
        <f t="shared" ref="AD58" si="43">SUM(AD51:AD57)</f>
        <v>0</v>
      </c>
      <c r="AE58" s="141">
        <f t="shared" ref="AE58" si="44">SUM(AE51:AE57)</f>
        <v>0</v>
      </c>
      <c r="AF58" s="141">
        <f t="shared" ref="AF58" si="45">SUM(AF51:AF57)</f>
        <v>5000.1000000000004</v>
      </c>
    </row>
    <row r="59" spans="1:32" x14ac:dyDescent="0.25">
      <c r="A59" s="146"/>
      <c r="B59" s="154" t="s">
        <v>29</v>
      </c>
      <c r="C59" s="155">
        <f t="shared" ref="C59:AF59" si="46">C58+C50+C23</f>
        <v>203505.64</v>
      </c>
      <c r="D59" s="155">
        <f t="shared" si="46"/>
        <v>1683.88</v>
      </c>
      <c r="E59" s="155">
        <f t="shared" si="46"/>
        <v>6114.73</v>
      </c>
      <c r="F59" s="155">
        <f t="shared" si="46"/>
        <v>96</v>
      </c>
      <c r="G59" s="155">
        <f t="shared" si="46"/>
        <v>0</v>
      </c>
      <c r="H59" s="155">
        <f>H58+H50+H23</f>
        <v>195611.03</v>
      </c>
      <c r="I59" s="155">
        <f t="shared" si="46"/>
        <v>273491.53000000003</v>
      </c>
      <c r="J59" s="155">
        <f t="shared" si="46"/>
        <v>2538.8799999999997</v>
      </c>
      <c r="K59" s="155">
        <f t="shared" si="46"/>
        <v>6729.079999999999</v>
      </c>
      <c r="L59" s="155">
        <f t="shared" si="46"/>
        <v>96</v>
      </c>
      <c r="M59" s="155">
        <f t="shared" si="46"/>
        <v>0</v>
      </c>
      <c r="N59" s="155">
        <f t="shared" si="46"/>
        <v>264127.56999999995</v>
      </c>
      <c r="O59" s="155">
        <f t="shared" si="46"/>
        <v>370419.25</v>
      </c>
      <c r="P59" s="155">
        <f t="shared" si="46"/>
        <v>2707.5</v>
      </c>
      <c r="Q59" s="155">
        <f t="shared" si="46"/>
        <v>7523.0300000000007</v>
      </c>
      <c r="R59" s="155">
        <f t="shared" si="46"/>
        <v>0</v>
      </c>
      <c r="S59" s="155">
        <f t="shared" si="46"/>
        <v>0</v>
      </c>
      <c r="T59" s="155">
        <f t="shared" si="46"/>
        <v>360188.73</v>
      </c>
      <c r="U59" s="155">
        <f t="shared" si="46"/>
        <v>441800.81</v>
      </c>
      <c r="V59" s="155">
        <f t="shared" si="46"/>
        <v>1302.6400000000001</v>
      </c>
      <c r="W59" s="155">
        <f t="shared" si="46"/>
        <v>7826</v>
      </c>
      <c r="X59" s="155">
        <f t="shared" si="46"/>
        <v>0</v>
      </c>
      <c r="Y59" s="155">
        <f t="shared" si="46"/>
        <v>0</v>
      </c>
      <c r="Z59" s="155">
        <f t="shared" si="46"/>
        <v>432672.17</v>
      </c>
      <c r="AA59" s="155">
        <f>AA58+AA50+AA23</f>
        <v>477517.69</v>
      </c>
      <c r="AB59" s="155">
        <f t="shared" si="46"/>
        <v>1715.9300000000003</v>
      </c>
      <c r="AC59" s="155">
        <f t="shared" si="46"/>
        <v>7023.18</v>
      </c>
      <c r="AD59" s="155">
        <f t="shared" si="46"/>
        <v>0</v>
      </c>
      <c r="AE59" s="155">
        <f t="shared" si="46"/>
        <v>0</v>
      </c>
      <c r="AF59" s="155">
        <f t="shared" si="46"/>
        <v>468778.58</v>
      </c>
    </row>
  </sheetData>
  <mergeCells count="21">
    <mergeCell ref="A50:B50"/>
    <mergeCell ref="A43:B43"/>
    <mergeCell ref="A44:AF44"/>
    <mergeCell ref="AA20:AF20"/>
    <mergeCell ref="A24:AF24"/>
    <mergeCell ref="U20:Z20"/>
    <mergeCell ref="C22:AF22"/>
    <mergeCell ref="A2:AF2"/>
    <mergeCell ref="A1:AF1"/>
    <mergeCell ref="B3:B4"/>
    <mergeCell ref="C3:H3"/>
    <mergeCell ref="I3:N3"/>
    <mergeCell ref="A3:A4"/>
    <mergeCell ref="O3:T3"/>
    <mergeCell ref="U3:Z3"/>
    <mergeCell ref="U15:Z15"/>
    <mergeCell ref="AA15:AF15"/>
    <mergeCell ref="U17:Z17"/>
    <mergeCell ref="AA17:AF17"/>
    <mergeCell ref="AA3:AF3"/>
    <mergeCell ref="A5:AF5"/>
  </mergeCells>
  <pageMargins left="0.2" right="0.2" top="0.28999999999999998" bottom="0" header="0.35" footer="0.05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view="pageLayout" topLeftCell="A34" zoomScaleNormal="115" zoomScaleSheetLayoutView="130" workbookViewId="0">
      <selection activeCell="G58" sqref="G58"/>
    </sheetView>
  </sheetViews>
  <sheetFormatPr defaultColWidth="9.140625" defaultRowHeight="15" x14ac:dyDescent="0.25"/>
  <cols>
    <col min="1" max="1" width="6.7109375" style="3" bestFit="1" customWidth="1"/>
    <col min="2" max="2" width="30.42578125" style="3" customWidth="1"/>
    <col min="3" max="6" width="9.28515625" style="3" customWidth="1"/>
    <col min="7" max="7" width="10.5703125" style="3" customWidth="1"/>
    <col min="8" max="16384" width="9.140625" style="3"/>
  </cols>
  <sheetData>
    <row r="1" spans="1:7" x14ac:dyDescent="0.25">
      <c r="A1" s="229" t="s">
        <v>191</v>
      </c>
      <c r="B1" s="229"/>
      <c r="C1" s="229"/>
      <c r="D1" s="229"/>
      <c r="E1" s="229"/>
      <c r="F1" s="229"/>
      <c r="G1" s="229"/>
    </row>
    <row r="2" spans="1:7" x14ac:dyDescent="0.25">
      <c r="A2" s="232" t="s">
        <v>113</v>
      </c>
      <c r="B2" s="232"/>
      <c r="C2" s="232"/>
      <c r="D2" s="232"/>
      <c r="E2" s="232"/>
      <c r="F2" s="232"/>
      <c r="G2" s="232"/>
    </row>
    <row r="3" spans="1:7" x14ac:dyDescent="0.25">
      <c r="A3" s="42" t="s">
        <v>36</v>
      </c>
      <c r="B3" s="43" t="s">
        <v>0</v>
      </c>
      <c r="C3" s="43" t="s">
        <v>1</v>
      </c>
      <c r="D3" s="43" t="s">
        <v>2</v>
      </c>
      <c r="E3" s="43" t="s">
        <v>74</v>
      </c>
      <c r="F3" s="43" t="s">
        <v>75</v>
      </c>
      <c r="G3" s="43" t="s">
        <v>76</v>
      </c>
    </row>
    <row r="4" spans="1:7" s="53" customFormat="1" ht="15" customHeight="1" x14ac:dyDescent="0.25">
      <c r="A4" s="231" t="s">
        <v>133</v>
      </c>
      <c r="B4" s="231"/>
      <c r="C4" s="231"/>
      <c r="D4" s="231"/>
      <c r="E4" s="231"/>
      <c r="F4" s="231"/>
      <c r="G4" s="231"/>
    </row>
    <row r="5" spans="1:7" ht="27" x14ac:dyDescent="0.25">
      <c r="A5" s="44">
        <v>1</v>
      </c>
      <c r="B5" s="45" t="s">
        <v>41</v>
      </c>
      <c r="C5" s="46">
        <v>24.53</v>
      </c>
      <c r="D5" s="46">
        <v>-90.52</v>
      </c>
      <c r="E5" s="47">
        <v>112.45</v>
      </c>
      <c r="F5" s="47">
        <v>-16.149999999999999</v>
      </c>
      <c r="G5" s="48">
        <v>-19.7</v>
      </c>
    </row>
    <row r="6" spans="1:7" s="53" customFormat="1" ht="27" x14ac:dyDescent="0.25">
      <c r="A6" s="54">
        <v>2</v>
      </c>
      <c r="B6" s="55" t="s">
        <v>35</v>
      </c>
      <c r="C6" s="56">
        <v>1215.4100000000001</v>
      </c>
      <c r="D6" s="56">
        <v>375.78</v>
      </c>
      <c r="E6" s="57">
        <v>503.33</v>
      </c>
      <c r="F6" s="57">
        <v>1062.3399999999999</v>
      </c>
      <c r="G6" s="20">
        <v>1169.08</v>
      </c>
    </row>
    <row r="7" spans="1:7" ht="27" x14ac:dyDescent="0.25">
      <c r="A7" s="44">
        <v>3</v>
      </c>
      <c r="B7" s="45" t="s">
        <v>8</v>
      </c>
      <c r="C7" s="46">
        <v>308.56</v>
      </c>
      <c r="D7" s="46">
        <v>513.11</v>
      </c>
      <c r="E7" s="47">
        <v>187.03</v>
      </c>
      <c r="F7" s="47">
        <v>659.55</v>
      </c>
      <c r="G7" s="48">
        <v>1005.88</v>
      </c>
    </row>
    <row r="8" spans="1:7" s="53" customFormat="1" ht="27" x14ac:dyDescent="0.25">
      <c r="A8" s="54">
        <v>4</v>
      </c>
      <c r="B8" s="55" t="s">
        <v>37</v>
      </c>
      <c r="C8" s="56">
        <v>2254.75</v>
      </c>
      <c r="D8" s="56">
        <v>3692.42</v>
      </c>
      <c r="E8" s="57">
        <v>4416.13</v>
      </c>
      <c r="F8" s="57">
        <v>6089.84</v>
      </c>
      <c r="G8" s="20">
        <v>6337.01</v>
      </c>
    </row>
    <row r="9" spans="1:7" ht="15.75" x14ac:dyDescent="0.25">
      <c r="A9" s="44">
        <v>5</v>
      </c>
      <c r="B9" s="45" t="s">
        <v>10</v>
      </c>
      <c r="C9" s="46">
        <v>444.68</v>
      </c>
      <c r="D9" s="46">
        <v>489.79</v>
      </c>
      <c r="E9" s="47">
        <v>404.56</v>
      </c>
      <c r="F9" s="47">
        <v>544.32000000000005</v>
      </c>
      <c r="G9" s="48">
        <v>776.83</v>
      </c>
    </row>
    <row r="10" spans="1:7" s="53" customFormat="1" ht="15.75" x14ac:dyDescent="0.25">
      <c r="A10" s="54">
        <v>6</v>
      </c>
      <c r="B10" s="55" t="s">
        <v>11</v>
      </c>
      <c r="C10" s="56">
        <v>606.59</v>
      </c>
      <c r="D10" s="56">
        <v>789.86</v>
      </c>
      <c r="E10" s="57">
        <v>940.55</v>
      </c>
      <c r="F10" s="57">
        <v>1087.3499999999999</v>
      </c>
      <c r="G10" s="20">
        <v>1267.97</v>
      </c>
    </row>
    <row r="11" spans="1:7" ht="16.5" customHeight="1" x14ac:dyDescent="0.25">
      <c r="A11" s="44">
        <v>7</v>
      </c>
      <c r="B11" s="45" t="s">
        <v>38</v>
      </c>
      <c r="C11" s="46">
        <v>109.8</v>
      </c>
      <c r="D11" s="46">
        <v>138.35</v>
      </c>
      <c r="E11" s="47">
        <v>140.41</v>
      </c>
      <c r="F11" s="47">
        <v>208.34</v>
      </c>
      <c r="G11" s="48">
        <v>187.38</v>
      </c>
    </row>
    <row r="12" spans="1:7" s="53" customFormat="1" ht="15.75" x14ac:dyDescent="0.25">
      <c r="A12" s="54">
        <v>8</v>
      </c>
      <c r="B12" s="55" t="s">
        <v>13</v>
      </c>
      <c r="C12" s="56">
        <v>444.65</v>
      </c>
      <c r="D12" s="56">
        <v>596.39</v>
      </c>
      <c r="E12" s="57">
        <v>424.35</v>
      </c>
      <c r="F12" s="57">
        <v>497.1</v>
      </c>
      <c r="G12" s="20">
        <v>530.54</v>
      </c>
    </row>
    <row r="13" spans="1:7" ht="15.75" x14ac:dyDescent="0.25">
      <c r="A13" s="44">
        <v>9</v>
      </c>
      <c r="B13" s="45" t="s">
        <v>119</v>
      </c>
      <c r="C13" s="46">
        <v>7.86</v>
      </c>
      <c r="D13" s="46">
        <v>19.78</v>
      </c>
      <c r="E13" s="47">
        <v>24.72</v>
      </c>
      <c r="F13" s="47">
        <v>42.42</v>
      </c>
      <c r="G13" s="48">
        <v>49.72</v>
      </c>
    </row>
    <row r="14" spans="1:7" s="53" customFormat="1" ht="15.75" x14ac:dyDescent="0.25">
      <c r="A14" s="54">
        <v>10</v>
      </c>
      <c r="B14" s="55" t="s">
        <v>14</v>
      </c>
      <c r="C14" s="56">
        <v>192.52</v>
      </c>
      <c r="D14" s="56">
        <v>0.47</v>
      </c>
      <c r="E14" s="57">
        <v>-0.14000000000000001</v>
      </c>
      <c r="F14" s="199" t="s">
        <v>79</v>
      </c>
      <c r="G14" s="199"/>
    </row>
    <row r="15" spans="1:7" ht="15.75" x14ac:dyDescent="0.25">
      <c r="A15" s="44">
        <v>11</v>
      </c>
      <c r="B15" s="45" t="s">
        <v>42</v>
      </c>
      <c r="C15" s="46">
        <v>-34.97</v>
      </c>
      <c r="D15" s="46">
        <v>-236.92</v>
      </c>
      <c r="E15" s="47">
        <v>0</v>
      </c>
      <c r="F15" s="47">
        <v>0.05</v>
      </c>
      <c r="G15" s="48">
        <v>0.75</v>
      </c>
    </row>
    <row r="16" spans="1:7" s="53" customFormat="1" ht="27" x14ac:dyDescent="0.25">
      <c r="A16" s="54">
        <v>12</v>
      </c>
      <c r="B16" s="55" t="s">
        <v>40</v>
      </c>
      <c r="C16" s="56">
        <v>-1.42</v>
      </c>
      <c r="D16" s="56">
        <v>9.25</v>
      </c>
      <c r="E16" s="57">
        <v>95.58</v>
      </c>
      <c r="F16" s="199" t="s">
        <v>79</v>
      </c>
      <c r="G16" s="199"/>
    </row>
    <row r="17" spans="1:7" ht="27" x14ac:dyDescent="0.25">
      <c r="A17" s="44">
        <v>13</v>
      </c>
      <c r="B17" s="45" t="s">
        <v>16</v>
      </c>
      <c r="C17" s="46">
        <v>101.87</v>
      </c>
      <c r="D17" s="46">
        <v>3.84</v>
      </c>
      <c r="E17" s="47">
        <v>-366.41</v>
      </c>
      <c r="F17" s="47">
        <v>-140.87</v>
      </c>
      <c r="G17" s="48">
        <v>278.93</v>
      </c>
    </row>
    <row r="18" spans="1:7" s="53" customFormat="1" ht="15.75" x14ac:dyDescent="0.25">
      <c r="A18" s="54">
        <v>14</v>
      </c>
      <c r="B18" s="55" t="s">
        <v>39</v>
      </c>
      <c r="C18" s="56">
        <v>35.869999999999997</v>
      </c>
      <c r="D18" s="56">
        <v>19.600000000000001</v>
      </c>
      <c r="E18" s="57">
        <v>23.25</v>
      </c>
      <c r="F18" s="57">
        <v>7.57</v>
      </c>
      <c r="G18" s="20">
        <v>87.42</v>
      </c>
    </row>
    <row r="19" spans="1:7" ht="15.75" customHeight="1" x14ac:dyDescent="0.25">
      <c r="A19" s="44">
        <v>15</v>
      </c>
      <c r="B19" s="45" t="s">
        <v>43</v>
      </c>
      <c r="C19" s="226" t="s">
        <v>78</v>
      </c>
      <c r="D19" s="227"/>
      <c r="E19" s="227"/>
      <c r="F19" s="227"/>
      <c r="G19" s="228"/>
    </row>
    <row r="20" spans="1:7" s="53" customFormat="1" ht="15.75" x14ac:dyDescent="0.25">
      <c r="A20" s="54">
        <v>16</v>
      </c>
      <c r="B20" s="55" t="s">
        <v>17</v>
      </c>
      <c r="C20" s="56">
        <v>-0.5</v>
      </c>
      <c r="D20" s="56">
        <v>0.5</v>
      </c>
      <c r="E20" s="57">
        <v>0</v>
      </c>
      <c r="F20" s="57">
        <v>0.22</v>
      </c>
      <c r="G20" s="20">
        <v>-2.46</v>
      </c>
    </row>
    <row r="21" spans="1:7" ht="15.75" customHeight="1" x14ac:dyDescent="0.25">
      <c r="A21" s="44">
        <v>17</v>
      </c>
      <c r="B21" s="45" t="s">
        <v>93</v>
      </c>
      <c r="C21" s="46">
        <v>2.97</v>
      </c>
      <c r="D21" s="46">
        <v>0.15</v>
      </c>
      <c r="E21" s="47">
        <v>0.79</v>
      </c>
      <c r="F21" s="47">
        <v>-5.0999999999999996</v>
      </c>
      <c r="G21" s="48">
        <v>3.1</v>
      </c>
    </row>
    <row r="22" spans="1:7" s="53" customFormat="1" x14ac:dyDescent="0.25">
      <c r="A22" s="233" t="s">
        <v>146</v>
      </c>
      <c r="B22" s="234"/>
      <c r="C22" s="58">
        <f>SUM(C5:C21)</f>
        <v>5713.17</v>
      </c>
      <c r="D22" s="58">
        <f t="shared" ref="D22:G22" si="0">SUM(D5:D21)</f>
        <v>6321.85</v>
      </c>
      <c r="E22" s="58">
        <f t="shared" si="0"/>
        <v>6906.6000000000013</v>
      </c>
      <c r="F22" s="58">
        <f t="shared" si="0"/>
        <v>10036.979999999998</v>
      </c>
      <c r="G22" s="58">
        <f t="shared" si="0"/>
        <v>11672.449999999999</v>
      </c>
    </row>
    <row r="23" spans="1:7" ht="15" customHeight="1" x14ac:dyDescent="0.25">
      <c r="A23" s="230" t="s">
        <v>44</v>
      </c>
      <c r="B23" s="230"/>
      <c r="C23" s="230"/>
      <c r="D23" s="230"/>
      <c r="E23" s="230"/>
      <c r="F23" s="230"/>
      <c r="G23" s="230"/>
    </row>
    <row r="24" spans="1:7" s="53" customFormat="1" ht="15.75" x14ac:dyDescent="0.25">
      <c r="A24" s="54">
        <v>18</v>
      </c>
      <c r="B24" s="55" t="s">
        <v>45</v>
      </c>
      <c r="C24" s="56">
        <v>3.78E-2</v>
      </c>
      <c r="D24" s="56">
        <v>7.2</v>
      </c>
      <c r="E24" s="57">
        <v>-2.93</v>
      </c>
      <c r="F24" s="57">
        <v>-9.65</v>
      </c>
      <c r="G24" s="20">
        <v>-1.1000000000000001</v>
      </c>
    </row>
    <row r="25" spans="1:7" ht="27" x14ac:dyDescent="0.25">
      <c r="A25" s="44">
        <v>19</v>
      </c>
      <c r="B25" s="45" t="s">
        <v>121</v>
      </c>
      <c r="C25" s="46">
        <v>-8.39</v>
      </c>
      <c r="D25" s="46">
        <v>-6.45</v>
      </c>
      <c r="E25" s="47">
        <v>-4.84</v>
      </c>
      <c r="F25" s="47">
        <v>-3.73</v>
      </c>
      <c r="G25" s="48">
        <v>-2.57</v>
      </c>
    </row>
    <row r="26" spans="1:7" s="53" customFormat="1" ht="27" x14ac:dyDescent="0.25">
      <c r="A26" s="54">
        <v>20</v>
      </c>
      <c r="B26" s="55" t="s">
        <v>46</v>
      </c>
      <c r="C26" s="56">
        <v>-11.87</v>
      </c>
      <c r="D26" s="56">
        <v>0.95</v>
      </c>
      <c r="E26" s="57">
        <v>-9.1300000000000008</v>
      </c>
      <c r="F26" s="57">
        <v>-5.93</v>
      </c>
      <c r="G26" s="20">
        <v>-0.91</v>
      </c>
    </row>
    <row r="27" spans="1:7" ht="25.5" x14ac:dyDescent="0.25">
      <c r="A27" s="44">
        <v>21</v>
      </c>
      <c r="B27" s="50" t="s">
        <v>122</v>
      </c>
      <c r="C27" s="46">
        <v>-4.68</v>
      </c>
      <c r="D27" s="46">
        <v>6.6</v>
      </c>
      <c r="E27" s="47">
        <v>-0.28999999999999998</v>
      </c>
      <c r="F27" s="47">
        <v>0.21</v>
      </c>
      <c r="G27" s="48">
        <v>1.61</v>
      </c>
    </row>
    <row r="28" spans="1:7" s="53" customFormat="1" ht="25.5" x14ac:dyDescent="0.25">
      <c r="A28" s="54">
        <v>22</v>
      </c>
      <c r="B28" s="59" t="s">
        <v>124</v>
      </c>
      <c r="C28" s="221" t="s">
        <v>89</v>
      </c>
      <c r="D28" s="222"/>
      <c r="E28" s="57">
        <v>0.01</v>
      </c>
      <c r="F28" s="57">
        <v>0.01</v>
      </c>
      <c r="G28" s="20">
        <v>3.67</v>
      </c>
    </row>
    <row r="29" spans="1:7" ht="15.75" x14ac:dyDescent="0.25">
      <c r="A29" s="44">
        <v>23</v>
      </c>
      <c r="B29" s="45" t="s">
        <v>123</v>
      </c>
      <c r="C29" s="46">
        <v>-2.11</v>
      </c>
      <c r="D29" s="46">
        <v>-17.18</v>
      </c>
      <c r="E29" s="47">
        <v>-21.38</v>
      </c>
      <c r="F29" s="47">
        <v>-24.62</v>
      </c>
      <c r="G29" s="48">
        <v>-17.170000000000002</v>
      </c>
    </row>
    <row r="30" spans="1:7" s="53" customFormat="1" ht="14.25" customHeight="1" x14ac:dyDescent="0.25">
      <c r="A30" s="54">
        <v>24</v>
      </c>
      <c r="B30" s="55" t="s">
        <v>135</v>
      </c>
      <c r="C30" s="56">
        <v>-30.61</v>
      </c>
      <c r="D30" s="56">
        <v>-30.83</v>
      </c>
      <c r="E30" s="57">
        <v>-14.06</v>
      </c>
      <c r="F30" s="57">
        <v>-12.05</v>
      </c>
      <c r="G30" s="20">
        <v>-14.34</v>
      </c>
    </row>
    <row r="31" spans="1:7" ht="27" x14ac:dyDescent="0.25">
      <c r="A31" s="44">
        <v>25</v>
      </c>
      <c r="B31" s="45" t="s">
        <v>141</v>
      </c>
      <c r="C31" s="46">
        <v>2.14</v>
      </c>
      <c r="D31" s="46">
        <v>0.77</v>
      </c>
      <c r="E31" s="47">
        <v>0.65</v>
      </c>
      <c r="F31" s="47">
        <v>5.87</v>
      </c>
      <c r="G31" s="48">
        <v>26.37</v>
      </c>
    </row>
    <row r="32" spans="1:7" s="53" customFormat="1" ht="25.5" x14ac:dyDescent="0.25">
      <c r="A32" s="54">
        <v>26</v>
      </c>
      <c r="B32" s="59" t="s">
        <v>137</v>
      </c>
      <c r="C32" s="56">
        <v>0.05</v>
      </c>
      <c r="D32" s="56">
        <v>0.24</v>
      </c>
      <c r="E32" s="57">
        <v>0.28000000000000003</v>
      </c>
      <c r="F32" s="57">
        <v>60.16</v>
      </c>
      <c r="G32" s="20">
        <v>21.74</v>
      </c>
    </row>
    <row r="33" spans="1:7" ht="27" x14ac:dyDescent="0.25">
      <c r="A33" s="44">
        <v>27</v>
      </c>
      <c r="B33" s="45" t="s">
        <v>144</v>
      </c>
      <c r="C33" s="46">
        <v>14.04</v>
      </c>
      <c r="D33" s="46">
        <v>11.51</v>
      </c>
      <c r="E33" s="47">
        <v>5.75</v>
      </c>
      <c r="F33" s="47">
        <v>5.3</v>
      </c>
      <c r="G33" s="48">
        <v>5.33</v>
      </c>
    </row>
    <row r="34" spans="1:7" s="53" customFormat="1" ht="26.25" customHeight="1" x14ac:dyDescent="0.25">
      <c r="A34" s="54">
        <v>28</v>
      </c>
      <c r="B34" s="59" t="s">
        <v>167</v>
      </c>
      <c r="C34" s="199" t="s">
        <v>83</v>
      </c>
      <c r="D34" s="199"/>
      <c r="E34" s="225"/>
      <c r="F34" s="225"/>
      <c r="G34" s="20" t="s">
        <v>170</v>
      </c>
    </row>
    <row r="35" spans="1:7" ht="18" customHeight="1" x14ac:dyDescent="0.25">
      <c r="A35" s="44">
        <v>29</v>
      </c>
      <c r="B35" s="50" t="s">
        <v>125</v>
      </c>
      <c r="C35" s="223" t="s">
        <v>81</v>
      </c>
      <c r="D35" s="223"/>
      <c r="E35" s="224"/>
      <c r="F35" s="224"/>
      <c r="G35" s="47">
        <v>0.77</v>
      </c>
    </row>
    <row r="36" spans="1:7" s="53" customFormat="1" ht="26.25" customHeight="1" x14ac:dyDescent="0.25">
      <c r="A36" s="54">
        <v>30</v>
      </c>
      <c r="B36" s="59" t="s">
        <v>142</v>
      </c>
      <c r="C36" s="208" t="s">
        <v>83</v>
      </c>
      <c r="D36" s="220"/>
      <c r="E36" s="209"/>
      <c r="F36" s="60"/>
      <c r="G36" s="20">
        <v>0.31</v>
      </c>
    </row>
    <row r="37" spans="1:7" ht="26.25" customHeight="1" x14ac:dyDescent="0.25">
      <c r="A37" s="44">
        <v>31</v>
      </c>
      <c r="B37" s="50" t="s">
        <v>168</v>
      </c>
      <c r="C37" s="223" t="s">
        <v>81</v>
      </c>
      <c r="D37" s="223"/>
      <c r="E37" s="224"/>
      <c r="F37" s="224"/>
      <c r="G37" s="51" t="s">
        <v>169</v>
      </c>
    </row>
    <row r="38" spans="1:7" s="53" customFormat="1" ht="18" customHeight="1" x14ac:dyDescent="0.25">
      <c r="A38" s="54">
        <v>32</v>
      </c>
      <c r="B38" s="59" t="s">
        <v>84</v>
      </c>
      <c r="C38" s="199" t="s">
        <v>81</v>
      </c>
      <c r="D38" s="199"/>
      <c r="E38" s="225"/>
      <c r="F38" s="225"/>
      <c r="G38" s="57">
        <v>-0.28999999999999998</v>
      </c>
    </row>
    <row r="39" spans="1:7" ht="15.75" x14ac:dyDescent="0.25">
      <c r="A39" s="44">
        <v>33</v>
      </c>
      <c r="B39" s="50" t="s">
        <v>90</v>
      </c>
      <c r="C39" s="46">
        <v>0.01</v>
      </c>
      <c r="D39" s="46">
        <v>0.01</v>
      </c>
      <c r="E39" s="47">
        <v>-0.21</v>
      </c>
      <c r="F39" s="47">
        <v>1.91</v>
      </c>
      <c r="G39" s="48">
        <v>3.3</v>
      </c>
    </row>
    <row r="40" spans="1:7" s="53" customFormat="1" ht="15.75" x14ac:dyDescent="0.25">
      <c r="A40" s="54">
        <v>34</v>
      </c>
      <c r="B40" s="55" t="s">
        <v>19</v>
      </c>
      <c r="C40" s="56">
        <v>1.8</v>
      </c>
      <c r="D40" s="56">
        <v>2.7</v>
      </c>
      <c r="E40" s="57">
        <v>2.0499999999999998</v>
      </c>
      <c r="F40" s="57">
        <v>1.3</v>
      </c>
      <c r="G40" s="20">
        <v>1.01</v>
      </c>
    </row>
    <row r="41" spans="1:7" ht="15.75" x14ac:dyDescent="0.25">
      <c r="A41" s="44">
        <v>35</v>
      </c>
      <c r="B41" s="45" t="s">
        <v>145</v>
      </c>
      <c r="C41" s="46">
        <v>41.34</v>
      </c>
      <c r="D41" s="46">
        <v>35.020000000000003</v>
      </c>
      <c r="E41" s="47">
        <v>24.13</v>
      </c>
      <c r="F41" s="47">
        <v>45.32</v>
      </c>
      <c r="G41" s="48">
        <v>59.04</v>
      </c>
    </row>
    <row r="42" spans="1:7" s="53" customFormat="1" x14ac:dyDescent="0.25">
      <c r="A42" s="233" t="s">
        <v>47</v>
      </c>
      <c r="B42" s="234"/>
      <c r="C42" s="61">
        <f>SUM(C24:C41)</f>
        <v>1.757799999999996</v>
      </c>
      <c r="D42" s="61">
        <f t="shared" ref="D42:G42" si="1">SUM(D24:D41)</f>
        <v>10.540000000000006</v>
      </c>
      <c r="E42" s="61">
        <f t="shared" si="1"/>
        <v>-19.970000000000002</v>
      </c>
      <c r="F42" s="61">
        <f t="shared" si="1"/>
        <v>64.099999999999994</v>
      </c>
      <c r="G42" s="61">
        <f t="shared" si="1"/>
        <v>86.77</v>
      </c>
    </row>
    <row r="43" spans="1:7" ht="15" customHeight="1" x14ac:dyDescent="0.25">
      <c r="A43" s="237" t="s">
        <v>48</v>
      </c>
      <c r="B43" s="238"/>
      <c r="C43" s="238"/>
      <c r="D43" s="238"/>
      <c r="E43" s="238"/>
      <c r="F43" s="238"/>
      <c r="G43" s="238"/>
    </row>
    <row r="44" spans="1:7" s="53" customFormat="1" ht="27" x14ac:dyDescent="0.25">
      <c r="A44" s="54">
        <v>36</v>
      </c>
      <c r="B44" s="55" t="s">
        <v>63</v>
      </c>
      <c r="C44" s="56">
        <v>10.06</v>
      </c>
      <c r="D44" s="56">
        <v>3.07</v>
      </c>
      <c r="E44" s="57">
        <v>5.0599999999999996</v>
      </c>
      <c r="F44" s="57">
        <v>1.34</v>
      </c>
      <c r="G44" s="20">
        <v>1.64</v>
      </c>
    </row>
    <row r="45" spans="1:7" ht="27" x14ac:dyDescent="0.25">
      <c r="A45" s="44">
        <v>37</v>
      </c>
      <c r="B45" s="45" t="s">
        <v>64</v>
      </c>
      <c r="C45" s="46">
        <v>-2.09</v>
      </c>
      <c r="D45" s="46">
        <v>0.41</v>
      </c>
      <c r="E45" s="47">
        <v>0.2</v>
      </c>
      <c r="F45" s="47">
        <v>0.24</v>
      </c>
      <c r="G45" s="48">
        <v>0.22</v>
      </c>
    </row>
    <row r="46" spans="1:7" s="53" customFormat="1" ht="27" x14ac:dyDescent="0.25">
      <c r="A46" s="54">
        <v>38</v>
      </c>
      <c r="B46" s="55" t="s">
        <v>131</v>
      </c>
      <c r="C46" s="56">
        <v>16.489999999999998</v>
      </c>
      <c r="D46" s="56">
        <v>15.53</v>
      </c>
      <c r="E46" s="57">
        <v>2.48</v>
      </c>
      <c r="F46" s="57">
        <v>1.62</v>
      </c>
      <c r="G46" s="20">
        <v>0.33</v>
      </c>
    </row>
    <row r="47" spans="1:7" ht="27" x14ac:dyDescent="0.25">
      <c r="A47" s="44">
        <v>39</v>
      </c>
      <c r="B47" s="45" t="s">
        <v>22</v>
      </c>
      <c r="C47" s="46">
        <v>46.1</v>
      </c>
      <c r="D47" s="46">
        <v>55.92</v>
      </c>
      <c r="E47" s="47">
        <v>22.43</v>
      </c>
      <c r="F47" s="47">
        <v>83.93</v>
      </c>
      <c r="G47" s="48">
        <v>53.79</v>
      </c>
    </row>
    <row r="48" spans="1:7" s="53" customFormat="1" ht="27" x14ac:dyDescent="0.25">
      <c r="A48" s="54">
        <v>40</v>
      </c>
      <c r="B48" s="55" t="s">
        <v>49</v>
      </c>
      <c r="C48" s="56">
        <v>9.82</v>
      </c>
      <c r="D48" s="56">
        <v>-0.38</v>
      </c>
      <c r="E48" s="57">
        <v>1.28</v>
      </c>
      <c r="F48" s="57">
        <v>3.41</v>
      </c>
      <c r="G48" s="20">
        <v>25.9</v>
      </c>
    </row>
    <row r="49" spans="1:7" x14ac:dyDescent="0.25">
      <c r="A49" s="235" t="s">
        <v>50</v>
      </c>
      <c r="B49" s="236"/>
      <c r="C49" s="52">
        <f>SUM(C44:C48)</f>
        <v>80.38</v>
      </c>
      <c r="D49" s="52">
        <f t="shared" ref="D49:G49" si="2">SUM(D44:D48)</f>
        <v>74.550000000000011</v>
      </c>
      <c r="E49" s="52">
        <f t="shared" si="2"/>
        <v>31.450000000000003</v>
      </c>
      <c r="F49" s="52">
        <f t="shared" si="2"/>
        <v>90.54</v>
      </c>
      <c r="G49" s="52">
        <f t="shared" si="2"/>
        <v>81.88</v>
      </c>
    </row>
    <row r="50" spans="1:7" s="53" customFormat="1" ht="15" customHeight="1" x14ac:dyDescent="0.25">
      <c r="A50" s="239" t="s">
        <v>51</v>
      </c>
      <c r="B50" s="240"/>
      <c r="C50" s="240"/>
      <c r="D50" s="240"/>
      <c r="E50" s="240"/>
      <c r="F50" s="240"/>
      <c r="G50" s="240"/>
    </row>
    <row r="51" spans="1:7" ht="27" x14ac:dyDescent="0.25">
      <c r="A51" s="44">
        <v>41</v>
      </c>
      <c r="B51" s="45" t="s">
        <v>91</v>
      </c>
      <c r="C51" s="46">
        <v>0.42</v>
      </c>
      <c r="D51" s="46">
        <v>0.49</v>
      </c>
      <c r="E51" s="47">
        <v>38.840000000000003</v>
      </c>
      <c r="F51" s="47">
        <v>31.2</v>
      </c>
      <c r="G51" s="48">
        <v>48.19</v>
      </c>
    </row>
    <row r="52" spans="1:7" s="53" customFormat="1" ht="27" x14ac:dyDescent="0.25">
      <c r="A52" s="54">
        <v>42</v>
      </c>
      <c r="B52" s="55" t="s">
        <v>55</v>
      </c>
      <c r="C52" s="56">
        <v>6.27</v>
      </c>
      <c r="D52" s="56">
        <v>-10.8</v>
      </c>
      <c r="E52" s="57">
        <v>-1.57</v>
      </c>
      <c r="F52" s="57">
        <v>29.07</v>
      </c>
      <c r="G52" s="20">
        <v>39.270000000000003</v>
      </c>
    </row>
    <row r="53" spans="1:7" ht="27" x14ac:dyDescent="0.25">
      <c r="A53" s="44">
        <v>43</v>
      </c>
      <c r="B53" s="45" t="s">
        <v>132</v>
      </c>
      <c r="C53" s="46">
        <v>72.92</v>
      </c>
      <c r="D53" s="46">
        <v>-48.59</v>
      </c>
      <c r="E53" s="47">
        <v>-106.82</v>
      </c>
      <c r="F53" s="47">
        <v>-115.82</v>
      </c>
      <c r="G53" s="48">
        <v>29.53</v>
      </c>
    </row>
    <row r="54" spans="1:7" s="53" customFormat="1" ht="15.75" x14ac:dyDescent="0.25">
      <c r="A54" s="54">
        <v>44</v>
      </c>
      <c r="B54" s="55" t="s">
        <v>52</v>
      </c>
      <c r="C54" s="56">
        <v>157.93</v>
      </c>
      <c r="D54" s="56">
        <v>30.21</v>
      </c>
      <c r="E54" s="57">
        <v>225.06</v>
      </c>
      <c r="F54" s="57">
        <v>125.64</v>
      </c>
      <c r="G54" s="20">
        <v>73.819999999999993</v>
      </c>
    </row>
    <row r="55" spans="1:7" ht="15.75" x14ac:dyDescent="0.25">
      <c r="A55" s="44">
        <v>45</v>
      </c>
      <c r="B55" s="45" t="s">
        <v>54</v>
      </c>
      <c r="C55" s="46">
        <v>2.25</v>
      </c>
      <c r="D55" s="46">
        <v>0.28000000000000003</v>
      </c>
      <c r="E55" s="47">
        <v>0.7</v>
      </c>
      <c r="F55" s="47">
        <v>0.53</v>
      </c>
      <c r="G55" s="48">
        <v>0.44</v>
      </c>
    </row>
    <row r="56" spans="1:7" s="53" customFormat="1" ht="27" x14ac:dyDescent="0.25">
      <c r="A56" s="54">
        <v>46</v>
      </c>
      <c r="B56" s="55" t="s">
        <v>27</v>
      </c>
      <c r="C56" s="56">
        <v>85.61</v>
      </c>
      <c r="D56" s="56">
        <v>82.27</v>
      </c>
      <c r="E56" s="57">
        <v>26.02</v>
      </c>
      <c r="F56" s="57">
        <v>10.55</v>
      </c>
      <c r="G56" s="20">
        <v>55.08</v>
      </c>
    </row>
    <row r="57" spans="1:7" ht="27" x14ac:dyDescent="0.25">
      <c r="A57" s="44">
        <v>47</v>
      </c>
      <c r="B57" s="45" t="s">
        <v>28</v>
      </c>
      <c r="C57" s="46">
        <v>25.58</v>
      </c>
      <c r="D57" s="46">
        <v>21.48</v>
      </c>
      <c r="E57" s="47">
        <v>-32.04</v>
      </c>
      <c r="F57" s="47">
        <v>-39.99</v>
      </c>
      <c r="G57" s="48">
        <v>-30.82</v>
      </c>
    </row>
    <row r="58" spans="1:7" s="53" customFormat="1" x14ac:dyDescent="0.25">
      <c r="A58" s="233" t="s">
        <v>57</v>
      </c>
      <c r="B58" s="234"/>
      <c r="C58" s="58">
        <f>SUM(C51:C57)</f>
        <v>350.98</v>
      </c>
      <c r="D58" s="58">
        <f t="shared" ref="D58:G58" si="3">SUM(D51:D57)</f>
        <v>75.339999999999989</v>
      </c>
      <c r="E58" s="58">
        <f t="shared" si="3"/>
        <v>150.19000000000003</v>
      </c>
      <c r="F58" s="58">
        <f t="shared" si="3"/>
        <v>41.18</v>
      </c>
      <c r="G58" s="58">
        <f t="shared" si="3"/>
        <v>215.51</v>
      </c>
    </row>
    <row r="59" spans="1:7" x14ac:dyDescent="0.25">
      <c r="A59" s="235" t="s">
        <v>29</v>
      </c>
      <c r="B59" s="236"/>
      <c r="C59" s="49">
        <f>C58+C49+C42+C22</f>
        <v>6146.2878000000001</v>
      </c>
      <c r="D59" s="49">
        <f t="shared" ref="D59:G59" si="4">D58+D49+D42+D22</f>
        <v>6482.2800000000007</v>
      </c>
      <c r="E59" s="49">
        <f t="shared" si="4"/>
        <v>7068.2700000000013</v>
      </c>
      <c r="F59" s="49">
        <f t="shared" si="4"/>
        <v>10232.799999999997</v>
      </c>
      <c r="G59" s="49">
        <f t="shared" si="4"/>
        <v>12056.609999999999</v>
      </c>
    </row>
    <row r="61" spans="1:7" x14ac:dyDescent="0.25">
      <c r="A61" s="241" t="s">
        <v>175</v>
      </c>
      <c r="B61" s="241"/>
      <c r="C61" s="241"/>
      <c r="D61" s="241"/>
      <c r="E61" s="241"/>
      <c r="F61" s="241"/>
      <c r="G61" s="241"/>
    </row>
    <row r="62" spans="1:7" ht="15" customHeight="1" x14ac:dyDescent="0.25">
      <c r="A62" s="241" t="s">
        <v>176</v>
      </c>
      <c r="B62" s="241"/>
      <c r="C62" s="241"/>
      <c r="D62" s="241"/>
      <c r="E62" s="241"/>
      <c r="F62" s="241"/>
      <c r="G62" s="241"/>
    </row>
  </sheetData>
  <mergeCells count="22">
    <mergeCell ref="A59:B59"/>
    <mergeCell ref="A43:G43"/>
    <mergeCell ref="A50:G50"/>
    <mergeCell ref="A61:G61"/>
    <mergeCell ref="A62:G62"/>
    <mergeCell ref="C37:F37"/>
    <mergeCell ref="C38:F38"/>
    <mergeCell ref="A49:B49"/>
    <mergeCell ref="A42:B42"/>
    <mergeCell ref="A58:B58"/>
    <mergeCell ref="A1:G1"/>
    <mergeCell ref="A23:G23"/>
    <mergeCell ref="A4:G4"/>
    <mergeCell ref="F14:G14"/>
    <mergeCell ref="F16:G16"/>
    <mergeCell ref="A2:G2"/>
    <mergeCell ref="A22:B22"/>
    <mergeCell ref="C28:D28"/>
    <mergeCell ref="C35:F35"/>
    <mergeCell ref="C34:F34"/>
    <mergeCell ref="C19:G19"/>
    <mergeCell ref="C36:E36"/>
  </mergeCells>
  <pageMargins left="0.7" right="0.7" top="0.75" bottom="0.75" header="0.3" footer="0.3"/>
  <pageSetup orientation="portrait" r:id="rId1"/>
  <headerFooter>
    <oddHeader xml:space="preserve">&amp;R&amp;"Times New Roman,Bold Italic"Annexure </oddHeader>
    <oddFooter xml:space="preserve">&amp;L&amp;"Times New Roman,Bold Italic"Report No.  of 2024&amp;R&amp;"Times New Roman,Bold Italic"Page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0"/>
  <sheetViews>
    <sheetView view="pageLayout" topLeftCell="A40" zoomScale="115" zoomScaleNormal="93" zoomScaleSheetLayoutView="115" zoomScalePageLayoutView="115" workbookViewId="0">
      <selection activeCell="B42" sqref="B42"/>
    </sheetView>
  </sheetViews>
  <sheetFormatPr defaultColWidth="9.140625" defaultRowHeight="15" x14ac:dyDescent="0.25"/>
  <cols>
    <col min="1" max="1" width="5.140625" customWidth="1"/>
    <col min="2" max="2" width="22.28515625" customWidth="1"/>
    <col min="3" max="3" width="12" customWidth="1"/>
    <col min="4" max="4" width="11" customWidth="1"/>
    <col min="5" max="5" width="9.140625" customWidth="1"/>
    <col min="6" max="6" width="10.42578125" customWidth="1"/>
    <col min="7" max="7" width="9.140625" customWidth="1"/>
    <col min="8" max="8" width="9.42578125" customWidth="1"/>
    <col min="9" max="9" width="12" customWidth="1"/>
    <col min="10" max="11" width="10.42578125" customWidth="1"/>
    <col min="12" max="12" width="11.42578125" customWidth="1"/>
  </cols>
  <sheetData>
    <row r="1" spans="1:12" x14ac:dyDescent="0.25">
      <c r="A1" s="245" t="s">
        <v>194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</row>
    <row r="2" spans="1:12" s="77" customFormat="1" ht="16.5" x14ac:dyDescent="0.3">
      <c r="A2" s="246" t="s">
        <v>114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12" x14ac:dyDescent="0.25">
      <c r="A3" s="62"/>
      <c r="B3" s="163"/>
      <c r="C3" s="247" t="s">
        <v>1</v>
      </c>
      <c r="D3" s="247"/>
      <c r="E3" s="247" t="s">
        <v>2</v>
      </c>
      <c r="F3" s="247"/>
      <c r="G3" s="247" t="s">
        <v>74</v>
      </c>
      <c r="H3" s="247"/>
      <c r="I3" s="247" t="s">
        <v>75</v>
      </c>
      <c r="J3" s="247"/>
      <c r="K3" s="247" t="s">
        <v>76</v>
      </c>
      <c r="L3" s="247"/>
    </row>
    <row r="4" spans="1:12" s="77" customFormat="1" ht="48.75" customHeight="1" x14ac:dyDescent="0.25">
      <c r="A4" s="78" t="s">
        <v>36</v>
      </c>
      <c r="B4" s="79" t="s">
        <v>0</v>
      </c>
      <c r="C4" s="80" t="s">
        <v>58</v>
      </c>
      <c r="D4" s="78" t="s">
        <v>59</v>
      </c>
      <c r="E4" s="80" t="s">
        <v>58</v>
      </c>
      <c r="F4" s="78" t="s">
        <v>59</v>
      </c>
      <c r="G4" s="80" t="s">
        <v>58</v>
      </c>
      <c r="H4" s="78" t="s">
        <v>59</v>
      </c>
      <c r="I4" s="80" t="s">
        <v>58</v>
      </c>
      <c r="J4" s="78" t="s">
        <v>59</v>
      </c>
      <c r="K4" s="80" t="s">
        <v>58</v>
      </c>
      <c r="L4" s="78" t="s">
        <v>59</v>
      </c>
    </row>
    <row r="5" spans="1:12" ht="15" customHeight="1" x14ac:dyDescent="0.25">
      <c r="A5" s="248" t="s">
        <v>133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50"/>
    </row>
    <row r="6" spans="1:12" s="77" customFormat="1" ht="40.5" x14ac:dyDescent="0.25">
      <c r="A6" s="81">
        <v>1</v>
      </c>
      <c r="B6" s="82" t="s">
        <v>92</v>
      </c>
      <c r="C6" s="83">
        <f>24.53</f>
        <v>24.53</v>
      </c>
      <c r="D6" s="84">
        <v>0</v>
      </c>
      <c r="E6" s="85">
        <v>-90.52</v>
      </c>
      <c r="F6" s="85">
        <v>0</v>
      </c>
      <c r="G6" s="86">
        <v>112.45</v>
      </c>
      <c r="H6" s="86">
        <v>0</v>
      </c>
      <c r="I6" s="86">
        <v>-16.149999999999999</v>
      </c>
      <c r="J6" s="87">
        <v>0</v>
      </c>
      <c r="K6" s="86">
        <v>-19.7</v>
      </c>
      <c r="L6" s="87">
        <v>0</v>
      </c>
    </row>
    <row r="7" spans="1:12" ht="27" x14ac:dyDescent="0.25">
      <c r="A7" s="63">
        <v>2</v>
      </c>
      <c r="B7" s="64" t="s">
        <v>35</v>
      </c>
      <c r="C7" s="65">
        <v>1215.4100000000001</v>
      </c>
      <c r="D7" s="65">
        <f>628.01</f>
        <v>628.01</v>
      </c>
      <c r="E7" s="65">
        <v>375.78</v>
      </c>
      <c r="F7" s="65">
        <v>228.06</v>
      </c>
      <c r="G7" s="66">
        <v>503.33</v>
      </c>
      <c r="H7" s="66">
        <v>304.60000000000002</v>
      </c>
      <c r="I7" s="66">
        <v>1062.3399999999999</v>
      </c>
      <c r="J7" s="67">
        <v>548.36</v>
      </c>
      <c r="K7" s="66">
        <v>1169.08</v>
      </c>
      <c r="L7" s="67">
        <v>670.22</v>
      </c>
    </row>
    <row r="8" spans="1:12" s="77" customFormat="1" ht="40.5" x14ac:dyDescent="0.25">
      <c r="A8" s="81">
        <v>3</v>
      </c>
      <c r="B8" s="82" t="s">
        <v>8</v>
      </c>
      <c r="C8" s="85">
        <v>308.56</v>
      </c>
      <c r="D8" s="85">
        <v>122.37</v>
      </c>
      <c r="E8" s="85">
        <v>513.11</v>
      </c>
      <c r="F8" s="85">
        <v>200</v>
      </c>
      <c r="G8" s="86">
        <v>189.9</v>
      </c>
      <c r="H8" s="86">
        <v>80</v>
      </c>
      <c r="I8" s="86">
        <v>659.55</v>
      </c>
      <c r="J8" s="87">
        <v>280</v>
      </c>
      <c r="K8" s="86">
        <v>1005.88</v>
      </c>
      <c r="L8" s="87">
        <v>440</v>
      </c>
    </row>
    <row r="9" spans="1:12" ht="27" x14ac:dyDescent="0.25">
      <c r="A9" s="63">
        <v>4</v>
      </c>
      <c r="B9" s="64" t="s">
        <v>134</v>
      </c>
      <c r="C9" s="65">
        <v>2254.75</v>
      </c>
      <c r="D9" s="65">
        <v>400</v>
      </c>
      <c r="E9" s="65">
        <v>3692.42</v>
      </c>
      <c r="F9" s="65">
        <v>500</v>
      </c>
      <c r="G9" s="66">
        <v>4416.13</v>
      </c>
      <c r="H9" s="66">
        <v>1372.19</v>
      </c>
      <c r="I9" s="66">
        <v>6089.83</v>
      </c>
      <c r="J9" s="67">
        <v>1829.6</v>
      </c>
      <c r="K9" s="66">
        <v>6337.01</v>
      </c>
      <c r="L9" s="67">
        <v>1960.28</v>
      </c>
    </row>
    <row r="10" spans="1:12" s="30" customFormat="1" ht="27" x14ac:dyDescent="0.25">
      <c r="A10" s="81">
        <v>5</v>
      </c>
      <c r="B10" s="82" t="s">
        <v>118</v>
      </c>
      <c r="C10" s="85">
        <f>444.68</f>
        <v>444.68</v>
      </c>
      <c r="D10" s="85">
        <f>202.63</f>
        <v>202.63</v>
      </c>
      <c r="E10" s="85">
        <v>489.79</v>
      </c>
      <c r="F10" s="85">
        <v>223.38</v>
      </c>
      <c r="G10" s="86">
        <v>404.56</v>
      </c>
      <c r="H10" s="86">
        <v>221.02</v>
      </c>
      <c r="I10" s="86">
        <v>544.32000000000005</v>
      </c>
      <c r="J10" s="87">
        <v>235.13</v>
      </c>
      <c r="K10" s="86">
        <v>776.83</v>
      </c>
      <c r="L10" s="87">
        <v>282.14999999999998</v>
      </c>
    </row>
    <row r="11" spans="1:12" ht="15.75" x14ac:dyDescent="0.25">
      <c r="A11" s="63">
        <v>6</v>
      </c>
      <c r="B11" s="64" t="s">
        <v>11</v>
      </c>
      <c r="C11" s="65">
        <v>606.59</v>
      </c>
      <c r="D11" s="65">
        <v>202.01</v>
      </c>
      <c r="E11" s="65">
        <v>789.86</v>
      </c>
      <c r="F11" s="65">
        <v>237.69</v>
      </c>
      <c r="G11" s="66">
        <v>940.55</v>
      </c>
      <c r="H11" s="66">
        <v>329.43</v>
      </c>
      <c r="I11" s="66">
        <v>1087.3499999999999</v>
      </c>
      <c r="J11" s="67">
        <v>381.56</v>
      </c>
      <c r="K11" s="66">
        <v>1267.97</v>
      </c>
      <c r="L11" s="67">
        <v>444.11</v>
      </c>
    </row>
    <row r="12" spans="1:12" s="77" customFormat="1" ht="27" x14ac:dyDescent="0.25">
      <c r="A12" s="81">
        <v>7</v>
      </c>
      <c r="B12" s="82" t="s">
        <v>12</v>
      </c>
      <c r="C12" s="83">
        <v>109.8</v>
      </c>
      <c r="D12" s="83">
        <v>64.2</v>
      </c>
      <c r="E12" s="88">
        <v>138.35</v>
      </c>
      <c r="F12" s="88">
        <v>68.06</v>
      </c>
      <c r="G12" s="86">
        <v>140.41</v>
      </c>
      <c r="H12" s="86">
        <v>70.61</v>
      </c>
      <c r="I12" s="86">
        <v>208.34</v>
      </c>
      <c r="J12" s="86">
        <v>77.02</v>
      </c>
      <c r="K12" s="86">
        <v>187.38</v>
      </c>
      <c r="L12" s="86">
        <v>81.83</v>
      </c>
    </row>
    <row r="13" spans="1:12" ht="15.75" x14ac:dyDescent="0.25">
      <c r="A13" s="63">
        <v>8</v>
      </c>
      <c r="B13" s="64" t="s">
        <v>13</v>
      </c>
      <c r="C13" s="65">
        <f>444.65</f>
        <v>444.65</v>
      </c>
      <c r="D13" s="65">
        <v>255</v>
      </c>
      <c r="E13" s="65">
        <v>596.39</v>
      </c>
      <c r="F13" s="65">
        <v>400</v>
      </c>
      <c r="G13" s="66">
        <v>424.35</v>
      </c>
      <c r="H13" s="66">
        <v>312.39</v>
      </c>
      <c r="I13" s="66">
        <v>497.1</v>
      </c>
      <c r="J13" s="67">
        <v>408.52</v>
      </c>
      <c r="K13" s="66">
        <v>530.54</v>
      </c>
      <c r="L13" s="67">
        <v>492.62</v>
      </c>
    </row>
    <row r="14" spans="1:12" s="77" customFormat="1" ht="27" x14ac:dyDescent="0.25">
      <c r="A14" s="81">
        <v>9</v>
      </c>
      <c r="B14" s="82" t="s">
        <v>119</v>
      </c>
      <c r="C14" s="85">
        <v>7.86</v>
      </c>
      <c r="D14" s="89">
        <v>0</v>
      </c>
      <c r="E14" s="83">
        <v>19.78</v>
      </c>
      <c r="F14" s="83">
        <v>0</v>
      </c>
      <c r="G14" s="86">
        <v>24.72</v>
      </c>
      <c r="H14" s="86">
        <v>0</v>
      </c>
      <c r="I14" s="86">
        <v>42.42</v>
      </c>
      <c r="J14" s="87">
        <v>0</v>
      </c>
      <c r="K14" s="86">
        <v>49.72</v>
      </c>
      <c r="L14" s="87">
        <v>0</v>
      </c>
    </row>
    <row r="15" spans="1:12" ht="27" x14ac:dyDescent="0.25">
      <c r="A15" s="63">
        <v>10</v>
      </c>
      <c r="B15" s="64" t="s">
        <v>14</v>
      </c>
      <c r="C15" s="65">
        <v>192.52</v>
      </c>
      <c r="D15" s="65">
        <v>0</v>
      </c>
      <c r="E15" s="65">
        <v>0.47</v>
      </c>
      <c r="F15" s="65">
        <v>0</v>
      </c>
      <c r="G15" s="66">
        <v>-0.14000000000000001</v>
      </c>
      <c r="H15" s="66">
        <v>0</v>
      </c>
      <c r="I15" s="251" t="s">
        <v>79</v>
      </c>
      <c r="J15" s="252"/>
      <c r="K15" s="252"/>
      <c r="L15" s="253"/>
    </row>
    <row r="16" spans="1:12" s="77" customFormat="1" ht="27" x14ac:dyDescent="0.25">
      <c r="A16" s="81">
        <v>11</v>
      </c>
      <c r="B16" s="82" t="s">
        <v>152</v>
      </c>
      <c r="C16" s="90">
        <v>-34.97</v>
      </c>
      <c r="D16" s="85">
        <v>0</v>
      </c>
      <c r="E16" s="90">
        <v>-236.92</v>
      </c>
      <c r="F16" s="85">
        <v>0</v>
      </c>
      <c r="G16" s="86">
        <v>0</v>
      </c>
      <c r="H16" s="86">
        <v>0</v>
      </c>
      <c r="I16" s="86">
        <v>0.05</v>
      </c>
      <c r="J16" s="87">
        <v>0</v>
      </c>
      <c r="K16" s="86">
        <v>0.75</v>
      </c>
      <c r="L16" s="87">
        <v>0</v>
      </c>
    </row>
    <row r="17" spans="1:12" ht="27" x14ac:dyDescent="0.25">
      <c r="A17" s="63">
        <v>12</v>
      </c>
      <c r="B17" s="64" t="s">
        <v>40</v>
      </c>
      <c r="C17" s="65">
        <v>-1.42</v>
      </c>
      <c r="D17" s="65">
        <v>0</v>
      </c>
      <c r="E17" s="65">
        <v>9.25</v>
      </c>
      <c r="F17" s="65">
        <v>0</v>
      </c>
      <c r="G17" s="66">
        <v>95.58</v>
      </c>
      <c r="H17" s="66">
        <v>0</v>
      </c>
      <c r="I17" s="251" t="s">
        <v>79</v>
      </c>
      <c r="J17" s="252"/>
      <c r="K17" s="252"/>
      <c r="L17" s="253"/>
    </row>
    <row r="18" spans="1:12" s="77" customFormat="1" ht="27" x14ac:dyDescent="0.25">
      <c r="A18" s="81">
        <v>13</v>
      </c>
      <c r="B18" s="82" t="s">
        <v>16</v>
      </c>
      <c r="C18" s="85">
        <v>101.87</v>
      </c>
      <c r="D18" s="85">
        <v>0</v>
      </c>
      <c r="E18" s="85">
        <v>3.84</v>
      </c>
      <c r="F18" s="85">
        <v>0</v>
      </c>
      <c r="G18" s="86">
        <v>-366.41</v>
      </c>
      <c r="H18" s="86">
        <v>0</v>
      </c>
      <c r="I18" s="86">
        <v>-140.87</v>
      </c>
      <c r="J18" s="87">
        <v>0</v>
      </c>
      <c r="K18" s="86">
        <v>278.93</v>
      </c>
      <c r="L18" s="87">
        <v>0</v>
      </c>
    </row>
    <row r="19" spans="1:12" ht="27" x14ac:dyDescent="0.25">
      <c r="A19" s="63">
        <v>14</v>
      </c>
      <c r="B19" s="64" t="s">
        <v>143</v>
      </c>
      <c r="C19" s="65">
        <v>35.869999999999997</v>
      </c>
      <c r="D19" s="65">
        <v>0</v>
      </c>
      <c r="E19" s="65">
        <v>19.600000000000001</v>
      </c>
      <c r="F19" s="65">
        <v>0</v>
      </c>
      <c r="G19" s="66">
        <v>23.25</v>
      </c>
      <c r="H19" s="66">
        <v>0</v>
      </c>
      <c r="I19" s="66">
        <v>7.57</v>
      </c>
      <c r="J19" s="67">
        <v>0</v>
      </c>
      <c r="K19" s="66">
        <v>87.42</v>
      </c>
      <c r="L19" s="67">
        <v>0</v>
      </c>
    </row>
    <row r="20" spans="1:12" s="77" customFormat="1" x14ac:dyDescent="0.25">
      <c r="A20" s="91">
        <v>15</v>
      </c>
      <c r="B20" s="82" t="s">
        <v>154</v>
      </c>
      <c r="C20" s="254" t="s">
        <v>85</v>
      </c>
      <c r="D20" s="254"/>
      <c r="E20" s="254"/>
      <c r="F20" s="254"/>
      <c r="G20" s="254"/>
      <c r="H20" s="254"/>
      <c r="I20" s="254"/>
      <c r="J20" s="254"/>
      <c r="K20" s="254"/>
      <c r="L20" s="255"/>
    </row>
    <row r="21" spans="1:12" x14ac:dyDescent="0.25">
      <c r="A21" s="63">
        <v>16</v>
      </c>
      <c r="B21" s="64" t="s">
        <v>17</v>
      </c>
      <c r="C21" s="65">
        <v>-0.5</v>
      </c>
      <c r="D21" s="65">
        <v>0</v>
      </c>
      <c r="E21" s="65">
        <v>0.5</v>
      </c>
      <c r="F21" s="65">
        <v>0</v>
      </c>
      <c r="G21" s="62">
        <v>0</v>
      </c>
      <c r="H21" s="62">
        <v>0</v>
      </c>
      <c r="I21" s="62">
        <v>0.22</v>
      </c>
      <c r="J21" s="62">
        <v>0</v>
      </c>
      <c r="K21" s="62">
        <v>-2.46</v>
      </c>
      <c r="L21" s="62">
        <v>0</v>
      </c>
    </row>
    <row r="22" spans="1:12" s="77" customFormat="1" ht="27" x14ac:dyDescent="0.25">
      <c r="A22" s="92">
        <v>17</v>
      </c>
      <c r="B22" s="93" t="s">
        <v>93</v>
      </c>
      <c r="C22" s="85">
        <v>2.97</v>
      </c>
      <c r="D22" s="85">
        <v>0</v>
      </c>
      <c r="E22" s="85">
        <v>0.15</v>
      </c>
      <c r="F22" s="85">
        <v>0</v>
      </c>
      <c r="G22" s="89">
        <v>0.79</v>
      </c>
      <c r="H22" s="89">
        <v>0</v>
      </c>
      <c r="I22" s="89">
        <v>-5.0999999999999996</v>
      </c>
      <c r="J22" s="89">
        <v>0</v>
      </c>
      <c r="K22" s="89">
        <v>3.1</v>
      </c>
      <c r="L22" s="89">
        <v>0</v>
      </c>
    </row>
    <row r="23" spans="1:12" s="5" customFormat="1" x14ac:dyDescent="0.25">
      <c r="A23" s="256" t="s">
        <v>94</v>
      </c>
      <c r="B23" s="257"/>
      <c r="C23" s="69">
        <f>SUM(C6:C22)</f>
        <v>5713.17</v>
      </c>
      <c r="D23" s="69">
        <f t="shared" ref="D23:L23" si="0">SUM(D6:D22)</f>
        <v>1874.2200000000003</v>
      </c>
      <c r="E23" s="69">
        <f t="shared" si="0"/>
        <v>6321.85</v>
      </c>
      <c r="F23" s="69">
        <f t="shared" si="0"/>
        <v>1857.19</v>
      </c>
      <c r="G23" s="69">
        <f t="shared" si="0"/>
        <v>6909.4700000000012</v>
      </c>
      <c r="H23" s="69">
        <f t="shared" si="0"/>
        <v>2690.24</v>
      </c>
      <c r="I23" s="69">
        <f t="shared" si="0"/>
        <v>10036.969999999998</v>
      </c>
      <c r="J23" s="69">
        <f t="shared" si="0"/>
        <v>3760.19</v>
      </c>
      <c r="K23" s="69">
        <f>SUM(K6:K22)</f>
        <v>11672.449999999999</v>
      </c>
      <c r="L23" s="70">
        <f t="shared" si="0"/>
        <v>4371.21</v>
      </c>
    </row>
    <row r="24" spans="1:12" s="77" customFormat="1" x14ac:dyDescent="0.25">
      <c r="A24" s="242" t="s">
        <v>44</v>
      </c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4"/>
    </row>
    <row r="25" spans="1:12" ht="15.75" x14ac:dyDescent="0.25">
      <c r="A25" s="63">
        <v>18</v>
      </c>
      <c r="B25" s="71" t="s">
        <v>62</v>
      </c>
      <c r="C25" s="68">
        <v>3.78E-2</v>
      </c>
      <c r="D25" s="65">
        <v>7.07</v>
      </c>
      <c r="E25" s="68">
        <f>7.2</f>
        <v>7.2</v>
      </c>
      <c r="F25" s="65">
        <v>23.86</v>
      </c>
      <c r="G25" s="62">
        <v>-2.93</v>
      </c>
      <c r="H25" s="66">
        <v>0</v>
      </c>
      <c r="I25" s="62">
        <v>-9.65</v>
      </c>
      <c r="J25" s="66">
        <v>0</v>
      </c>
      <c r="K25" s="66">
        <v>-1.1000000000000001</v>
      </c>
      <c r="L25" s="66">
        <v>0</v>
      </c>
    </row>
    <row r="26" spans="1:12" s="77" customFormat="1" ht="25.5" x14ac:dyDescent="0.25">
      <c r="A26" s="81">
        <v>19</v>
      </c>
      <c r="B26" s="94" t="s">
        <v>121</v>
      </c>
      <c r="C26" s="85">
        <v>-8.39</v>
      </c>
      <c r="D26" s="85">
        <v>0</v>
      </c>
      <c r="E26" s="90">
        <v>-6.45</v>
      </c>
      <c r="F26" s="85">
        <v>0</v>
      </c>
      <c r="G26" s="85">
        <v>-4.84</v>
      </c>
      <c r="H26" s="86">
        <v>0</v>
      </c>
      <c r="I26" s="85">
        <v>-3.73</v>
      </c>
      <c r="J26" s="86">
        <v>0</v>
      </c>
      <c r="K26" s="86">
        <v>-2.57</v>
      </c>
      <c r="L26" s="86">
        <v>0</v>
      </c>
    </row>
    <row r="27" spans="1:12" ht="27" x14ac:dyDescent="0.25">
      <c r="A27" s="63">
        <v>20</v>
      </c>
      <c r="B27" s="64" t="s">
        <v>46</v>
      </c>
      <c r="C27" s="65">
        <v>-11.87</v>
      </c>
      <c r="D27" s="65">
        <v>0</v>
      </c>
      <c r="E27" s="65">
        <v>0.95</v>
      </c>
      <c r="F27" s="65">
        <v>0</v>
      </c>
      <c r="G27" s="66">
        <v>-9.1300000000000008</v>
      </c>
      <c r="H27" s="66">
        <v>0</v>
      </c>
      <c r="I27" s="66">
        <v>-5.93</v>
      </c>
      <c r="J27" s="67">
        <v>0</v>
      </c>
      <c r="K27" s="66">
        <v>-0.91</v>
      </c>
      <c r="L27" s="67">
        <v>0</v>
      </c>
    </row>
    <row r="28" spans="1:12" s="77" customFormat="1" ht="27" x14ac:dyDescent="0.25">
      <c r="A28" s="81">
        <v>21</v>
      </c>
      <c r="B28" s="82" t="s">
        <v>122</v>
      </c>
      <c r="C28" s="85">
        <v>-4.68</v>
      </c>
      <c r="D28" s="85">
        <v>0</v>
      </c>
      <c r="E28" s="85">
        <v>6.6</v>
      </c>
      <c r="F28" s="85">
        <v>0</v>
      </c>
      <c r="G28" s="86">
        <v>-0.28999999999999998</v>
      </c>
      <c r="H28" s="86">
        <v>0</v>
      </c>
      <c r="I28" s="86">
        <v>0.21</v>
      </c>
      <c r="J28" s="87">
        <v>0</v>
      </c>
      <c r="K28" s="86">
        <v>1.61</v>
      </c>
      <c r="L28" s="87">
        <v>0</v>
      </c>
    </row>
    <row r="29" spans="1:12" ht="25.5" customHeight="1" x14ac:dyDescent="0.25">
      <c r="A29" s="63">
        <v>22</v>
      </c>
      <c r="B29" s="71" t="s">
        <v>80</v>
      </c>
      <c r="C29" s="260" t="s">
        <v>89</v>
      </c>
      <c r="D29" s="261"/>
      <c r="E29" s="261"/>
      <c r="F29" s="262"/>
      <c r="G29" s="66">
        <v>0.01</v>
      </c>
      <c r="H29" s="72">
        <v>0</v>
      </c>
      <c r="I29" s="66">
        <v>-0.01</v>
      </c>
      <c r="J29" s="73">
        <v>0</v>
      </c>
      <c r="K29" s="66">
        <v>3.67</v>
      </c>
      <c r="L29" s="67">
        <v>0</v>
      </c>
    </row>
    <row r="30" spans="1:12" s="77" customFormat="1" ht="27" x14ac:dyDescent="0.25">
      <c r="A30" s="81">
        <v>23</v>
      </c>
      <c r="B30" s="82" t="s">
        <v>123</v>
      </c>
      <c r="C30" s="85">
        <v>-2.11</v>
      </c>
      <c r="D30" s="85">
        <v>0</v>
      </c>
      <c r="E30" s="85">
        <v>-17.18</v>
      </c>
      <c r="F30" s="85">
        <v>0</v>
      </c>
      <c r="G30" s="86">
        <v>-21.38</v>
      </c>
      <c r="H30" s="86">
        <v>0</v>
      </c>
      <c r="I30" s="86">
        <v>-24.62</v>
      </c>
      <c r="J30" s="87">
        <v>0</v>
      </c>
      <c r="K30" s="86">
        <v>-17.170000000000002</v>
      </c>
      <c r="L30" s="87">
        <v>0</v>
      </c>
    </row>
    <row r="31" spans="1:12" ht="27" x14ac:dyDescent="0.25">
      <c r="A31" s="63">
        <v>24</v>
      </c>
      <c r="B31" s="64" t="s">
        <v>135</v>
      </c>
      <c r="C31" s="65">
        <v>-30.61</v>
      </c>
      <c r="D31" s="65">
        <v>0</v>
      </c>
      <c r="E31" s="65">
        <v>-30.83</v>
      </c>
      <c r="F31" s="65">
        <v>0</v>
      </c>
      <c r="G31" s="66">
        <v>-14.06</v>
      </c>
      <c r="H31" s="66">
        <v>0</v>
      </c>
      <c r="I31" s="66">
        <v>-12.05</v>
      </c>
      <c r="J31" s="67">
        <v>0</v>
      </c>
      <c r="K31" s="66">
        <v>-14.34</v>
      </c>
      <c r="L31" s="67">
        <v>0</v>
      </c>
    </row>
    <row r="32" spans="1:12" s="77" customFormat="1" ht="27" x14ac:dyDescent="0.25">
      <c r="A32" s="81">
        <v>25</v>
      </c>
      <c r="B32" s="82" t="s">
        <v>141</v>
      </c>
      <c r="C32" s="85">
        <v>2.14</v>
      </c>
      <c r="D32" s="85">
        <v>0</v>
      </c>
      <c r="E32" s="85">
        <v>0.77</v>
      </c>
      <c r="F32" s="85">
        <v>0</v>
      </c>
      <c r="G32" s="86">
        <v>0.65</v>
      </c>
      <c r="H32" s="86">
        <v>0</v>
      </c>
      <c r="I32" s="86">
        <v>5.87</v>
      </c>
      <c r="J32" s="87">
        <v>0</v>
      </c>
      <c r="K32" s="86">
        <v>26.37</v>
      </c>
      <c r="L32" s="87">
        <v>0</v>
      </c>
    </row>
    <row r="33" spans="1:12" ht="25.5" x14ac:dyDescent="0.25">
      <c r="A33" s="63">
        <v>26</v>
      </c>
      <c r="B33" s="71" t="s">
        <v>137</v>
      </c>
      <c r="C33" s="65">
        <v>0.05</v>
      </c>
      <c r="D33" s="65">
        <v>0</v>
      </c>
      <c r="E33" s="65">
        <v>0.24</v>
      </c>
      <c r="F33" s="65">
        <v>0</v>
      </c>
      <c r="G33" s="66">
        <v>0.28000000000000003</v>
      </c>
      <c r="H33" s="66">
        <v>0</v>
      </c>
      <c r="I33" s="66">
        <v>60.16</v>
      </c>
      <c r="J33" s="67">
        <v>0</v>
      </c>
      <c r="K33" s="66">
        <v>21.74</v>
      </c>
      <c r="L33" s="67">
        <v>0</v>
      </c>
    </row>
    <row r="34" spans="1:12" s="77" customFormat="1" ht="25.5" x14ac:dyDescent="0.25">
      <c r="A34" s="81">
        <v>27</v>
      </c>
      <c r="B34" s="94" t="s">
        <v>144</v>
      </c>
      <c r="C34" s="85">
        <v>14.04</v>
      </c>
      <c r="D34" s="85">
        <v>0</v>
      </c>
      <c r="E34" s="85">
        <v>11.51</v>
      </c>
      <c r="F34" s="85">
        <v>0</v>
      </c>
      <c r="G34" s="86">
        <v>5.75</v>
      </c>
      <c r="H34" s="86">
        <v>0</v>
      </c>
      <c r="I34" s="86">
        <v>5.3</v>
      </c>
      <c r="J34" s="87">
        <v>0</v>
      </c>
      <c r="K34" s="86">
        <v>5.33</v>
      </c>
      <c r="L34" s="87">
        <v>0</v>
      </c>
    </row>
    <row r="35" spans="1:12" ht="25.5" x14ac:dyDescent="0.25">
      <c r="A35" s="63">
        <v>28</v>
      </c>
      <c r="B35" s="71" t="s">
        <v>126</v>
      </c>
      <c r="C35" s="263" t="s">
        <v>151</v>
      </c>
      <c r="D35" s="264"/>
      <c r="E35" s="264"/>
      <c r="F35" s="264"/>
      <c r="G35" s="264"/>
      <c r="H35" s="265"/>
      <c r="I35" s="67">
        <v>0</v>
      </c>
      <c r="J35" s="66">
        <v>0</v>
      </c>
      <c r="K35" s="66">
        <v>0</v>
      </c>
      <c r="L35" s="67">
        <v>0</v>
      </c>
    </row>
    <row r="36" spans="1:12" s="77" customFormat="1" ht="25.5" x14ac:dyDescent="0.25">
      <c r="A36" s="81">
        <v>29</v>
      </c>
      <c r="B36" s="94" t="s">
        <v>125</v>
      </c>
      <c r="C36" s="266" t="s">
        <v>150</v>
      </c>
      <c r="D36" s="267"/>
      <c r="E36" s="267"/>
      <c r="F36" s="267"/>
      <c r="G36" s="267"/>
      <c r="H36" s="267"/>
      <c r="I36" s="267"/>
      <c r="J36" s="268"/>
      <c r="K36" s="86">
        <v>0.77</v>
      </c>
      <c r="L36" s="87">
        <v>0</v>
      </c>
    </row>
    <row r="37" spans="1:12" ht="25.5" x14ac:dyDescent="0.25">
      <c r="A37" s="63">
        <v>30</v>
      </c>
      <c r="B37" s="71" t="s">
        <v>142</v>
      </c>
      <c r="C37" s="263" t="s">
        <v>151</v>
      </c>
      <c r="D37" s="264"/>
      <c r="E37" s="264"/>
      <c r="F37" s="264"/>
      <c r="G37" s="264"/>
      <c r="H37" s="265"/>
      <c r="I37" s="72">
        <v>0</v>
      </c>
      <c r="J37" s="66">
        <v>0</v>
      </c>
      <c r="K37" s="66">
        <v>0.31</v>
      </c>
      <c r="L37" s="67">
        <v>0</v>
      </c>
    </row>
    <row r="38" spans="1:12" s="77" customFormat="1" ht="25.5" x14ac:dyDescent="0.25">
      <c r="A38" s="81">
        <v>31</v>
      </c>
      <c r="B38" s="94" t="s">
        <v>88</v>
      </c>
      <c r="C38" s="266" t="s">
        <v>151</v>
      </c>
      <c r="D38" s="267"/>
      <c r="E38" s="267"/>
      <c r="F38" s="267"/>
      <c r="G38" s="267"/>
      <c r="H38" s="268"/>
      <c r="I38" s="87">
        <v>0</v>
      </c>
      <c r="J38" s="86">
        <v>0</v>
      </c>
      <c r="K38" s="86">
        <v>0</v>
      </c>
      <c r="L38" s="87">
        <v>0</v>
      </c>
    </row>
    <row r="39" spans="1:12" ht="25.5" x14ac:dyDescent="0.25">
      <c r="A39" s="63">
        <v>32</v>
      </c>
      <c r="B39" s="71" t="s">
        <v>128</v>
      </c>
      <c r="C39" s="263" t="s">
        <v>150</v>
      </c>
      <c r="D39" s="264"/>
      <c r="E39" s="264"/>
      <c r="F39" s="264"/>
      <c r="G39" s="264"/>
      <c r="H39" s="264"/>
      <c r="I39" s="264"/>
      <c r="J39" s="265"/>
      <c r="K39" s="66">
        <v>-0.28999999999999998</v>
      </c>
      <c r="L39" s="67">
        <v>0</v>
      </c>
    </row>
    <row r="40" spans="1:12" s="77" customFormat="1" ht="25.5" x14ac:dyDescent="0.25">
      <c r="A40" s="81">
        <v>33</v>
      </c>
      <c r="B40" s="94" t="s">
        <v>90</v>
      </c>
      <c r="C40" s="85">
        <v>0.01</v>
      </c>
      <c r="D40" s="85">
        <v>0</v>
      </c>
      <c r="E40" s="90">
        <v>0.01</v>
      </c>
      <c r="F40" s="85">
        <v>0</v>
      </c>
      <c r="G40" s="95">
        <v>-0.21</v>
      </c>
      <c r="H40" s="86">
        <v>0</v>
      </c>
      <c r="I40" s="95">
        <v>1.91</v>
      </c>
      <c r="J40" s="86">
        <v>0</v>
      </c>
      <c r="K40" s="86">
        <v>3.3</v>
      </c>
      <c r="L40" s="86">
        <v>0</v>
      </c>
    </row>
    <row r="41" spans="1:12" ht="15.75" x14ac:dyDescent="0.25">
      <c r="A41" s="63">
        <v>34</v>
      </c>
      <c r="B41" s="71" t="s">
        <v>71</v>
      </c>
      <c r="C41" s="65">
        <f>1.8</f>
        <v>1.8</v>
      </c>
      <c r="D41" s="65">
        <v>0</v>
      </c>
      <c r="E41" s="68">
        <v>2.7</v>
      </c>
      <c r="F41" s="65">
        <v>0</v>
      </c>
      <c r="G41" s="65">
        <v>2.0499999999999998</v>
      </c>
      <c r="H41" s="66">
        <v>0</v>
      </c>
      <c r="I41" s="65">
        <v>1.3</v>
      </c>
      <c r="J41" s="66">
        <v>0</v>
      </c>
      <c r="K41" s="66">
        <v>1.01</v>
      </c>
      <c r="L41" s="66">
        <v>0</v>
      </c>
    </row>
    <row r="42" spans="1:12" s="77" customFormat="1" ht="15.75" x14ac:dyDescent="0.25">
      <c r="A42" s="81">
        <v>35</v>
      </c>
      <c r="B42" s="94" t="s">
        <v>202</v>
      </c>
      <c r="C42" s="85">
        <v>41.34</v>
      </c>
      <c r="D42" s="85">
        <v>12.41</v>
      </c>
      <c r="E42" s="90">
        <v>35.020000000000003</v>
      </c>
      <c r="F42" s="85">
        <v>10.5</v>
      </c>
      <c r="G42" s="86">
        <v>24.13</v>
      </c>
      <c r="H42" s="86">
        <v>9</v>
      </c>
      <c r="I42" s="86">
        <v>45.32</v>
      </c>
      <c r="J42" s="87">
        <v>13.65</v>
      </c>
      <c r="K42" s="86">
        <v>59.04</v>
      </c>
      <c r="L42" s="87">
        <v>57.75</v>
      </c>
    </row>
    <row r="43" spans="1:12" s="4" customFormat="1" x14ac:dyDescent="0.25">
      <c r="A43" s="256" t="s">
        <v>94</v>
      </c>
      <c r="B43" s="257"/>
      <c r="C43" s="70">
        <f>SUM(C25:C42)</f>
        <v>1.757799999999996</v>
      </c>
      <c r="D43" s="69">
        <f t="shared" ref="D43:L43" si="1">SUM(D25:D42)</f>
        <v>19.48</v>
      </c>
      <c r="E43" s="69">
        <f t="shared" si="1"/>
        <v>10.540000000000006</v>
      </c>
      <c r="F43" s="69">
        <f t="shared" si="1"/>
        <v>34.36</v>
      </c>
      <c r="G43" s="69">
        <f t="shared" si="1"/>
        <v>-19.970000000000002</v>
      </c>
      <c r="H43" s="69">
        <f t="shared" si="1"/>
        <v>9</v>
      </c>
      <c r="I43" s="69">
        <f t="shared" si="1"/>
        <v>64.08</v>
      </c>
      <c r="J43" s="69">
        <f t="shared" si="1"/>
        <v>13.65</v>
      </c>
      <c r="K43" s="70">
        <f t="shared" si="1"/>
        <v>86.77</v>
      </c>
      <c r="L43" s="69">
        <f t="shared" si="1"/>
        <v>57.75</v>
      </c>
    </row>
    <row r="44" spans="1:12" s="77" customFormat="1" x14ac:dyDescent="0.25">
      <c r="A44" s="242" t="s">
        <v>48</v>
      </c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4"/>
    </row>
    <row r="45" spans="1:12" ht="38.25" x14ac:dyDescent="0.25">
      <c r="A45" s="74">
        <v>36</v>
      </c>
      <c r="B45" s="71" t="s">
        <v>63</v>
      </c>
      <c r="C45" s="65">
        <v>10.06</v>
      </c>
      <c r="D45" s="65">
        <v>0</v>
      </c>
      <c r="E45" s="68">
        <v>3.07</v>
      </c>
      <c r="F45" s="65">
        <v>0</v>
      </c>
      <c r="G45" s="75">
        <v>5.0599999999999996</v>
      </c>
      <c r="H45" s="66">
        <v>0</v>
      </c>
      <c r="I45" s="75">
        <v>1.34</v>
      </c>
      <c r="J45" s="66">
        <v>0</v>
      </c>
      <c r="K45" s="66">
        <v>1.64</v>
      </c>
      <c r="L45" s="66">
        <v>0</v>
      </c>
    </row>
    <row r="46" spans="1:12" s="77" customFormat="1" ht="38.25" x14ac:dyDescent="0.25">
      <c r="A46" s="81">
        <v>37</v>
      </c>
      <c r="B46" s="94" t="s">
        <v>155</v>
      </c>
      <c r="C46" s="85">
        <v>-2.09</v>
      </c>
      <c r="D46" s="85">
        <v>0</v>
      </c>
      <c r="E46" s="90">
        <v>0.41</v>
      </c>
      <c r="F46" s="85">
        <v>0</v>
      </c>
      <c r="G46" s="86">
        <v>0.2</v>
      </c>
      <c r="H46" s="86">
        <v>0</v>
      </c>
      <c r="I46" s="86">
        <v>0.24</v>
      </c>
      <c r="J46" s="87">
        <v>0</v>
      </c>
      <c r="K46" s="86">
        <v>0.22</v>
      </c>
      <c r="L46" s="87">
        <v>0</v>
      </c>
    </row>
    <row r="47" spans="1:12" ht="38.25" x14ac:dyDescent="0.25">
      <c r="A47" s="63">
        <v>38</v>
      </c>
      <c r="B47" s="71" t="s">
        <v>156</v>
      </c>
      <c r="C47" s="65">
        <v>16.489999999999998</v>
      </c>
      <c r="D47" s="65">
        <v>0</v>
      </c>
      <c r="E47" s="68">
        <v>15.53</v>
      </c>
      <c r="F47" s="65">
        <v>0</v>
      </c>
      <c r="G47" s="66">
        <v>2.48</v>
      </c>
      <c r="H47" s="66">
        <v>0</v>
      </c>
      <c r="I47" s="66">
        <v>1.62</v>
      </c>
      <c r="J47" s="67">
        <v>0</v>
      </c>
      <c r="K47" s="66">
        <v>0.33</v>
      </c>
      <c r="L47" s="67">
        <v>0</v>
      </c>
    </row>
    <row r="48" spans="1:12" s="77" customFormat="1" ht="25.5" x14ac:dyDescent="0.25">
      <c r="A48" s="81">
        <v>39</v>
      </c>
      <c r="B48" s="94" t="s">
        <v>22</v>
      </c>
      <c r="C48" s="85">
        <v>46.1</v>
      </c>
      <c r="D48" s="85">
        <v>0</v>
      </c>
      <c r="E48" s="90">
        <v>55.92</v>
      </c>
      <c r="F48" s="85">
        <v>0</v>
      </c>
      <c r="G48" s="86">
        <v>22.43</v>
      </c>
      <c r="H48" s="86">
        <v>0</v>
      </c>
      <c r="I48" s="86">
        <v>83.93</v>
      </c>
      <c r="J48" s="87">
        <v>0</v>
      </c>
      <c r="K48" s="86">
        <v>53.79</v>
      </c>
      <c r="L48" s="87">
        <v>0</v>
      </c>
    </row>
    <row r="49" spans="1:12" ht="51" x14ac:dyDescent="0.25">
      <c r="A49" s="63">
        <v>40</v>
      </c>
      <c r="B49" s="71" t="s">
        <v>153</v>
      </c>
      <c r="C49" s="65">
        <v>9.82</v>
      </c>
      <c r="D49" s="65">
        <v>2</v>
      </c>
      <c r="E49" s="68">
        <v>-0.38</v>
      </c>
      <c r="F49" s="65">
        <v>0</v>
      </c>
      <c r="G49" s="67">
        <v>1.28</v>
      </c>
      <c r="H49" s="66">
        <v>0</v>
      </c>
      <c r="I49" s="67">
        <v>3.41</v>
      </c>
      <c r="J49" s="66">
        <v>0</v>
      </c>
      <c r="K49" s="66">
        <v>25.9</v>
      </c>
      <c r="L49" s="67">
        <v>0</v>
      </c>
    </row>
    <row r="50" spans="1:12" s="77" customFormat="1" x14ac:dyDescent="0.25">
      <c r="A50" s="269" t="s">
        <v>94</v>
      </c>
      <c r="B50" s="270"/>
      <c r="C50" s="96">
        <f>SUM(C45:C49)</f>
        <v>80.38</v>
      </c>
      <c r="D50" s="96">
        <f t="shared" ref="D50:L50" si="2">SUM(D45:D49)</f>
        <v>2</v>
      </c>
      <c r="E50" s="96">
        <f t="shared" si="2"/>
        <v>74.550000000000011</v>
      </c>
      <c r="F50" s="96">
        <f t="shared" si="2"/>
        <v>0</v>
      </c>
      <c r="G50" s="96">
        <f t="shared" si="2"/>
        <v>31.450000000000003</v>
      </c>
      <c r="H50" s="96">
        <f t="shared" si="2"/>
        <v>0</v>
      </c>
      <c r="I50" s="96">
        <f t="shared" si="2"/>
        <v>90.54</v>
      </c>
      <c r="J50" s="96">
        <f t="shared" si="2"/>
        <v>0</v>
      </c>
      <c r="K50" s="96">
        <f t="shared" si="2"/>
        <v>81.88</v>
      </c>
      <c r="L50" s="96">
        <f t="shared" si="2"/>
        <v>0</v>
      </c>
    </row>
    <row r="51" spans="1:12" ht="15" customHeight="1" x14ac:dyDescent="0.25">
      <c r="A51" s="248" t="s">
        <v>51</v>
      </c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250"/>
    </row>
    <row r="52" spans="1:12" s="77" customFormat="1" ht="40.5" x14ac:dyDescent="0.25">
      <c r="A52" s="97">
        <v>41</v>
      </c>
      <c r="B52" s="82" t="s">
        <v>157</v>
      </c>
      <c r="C52" s="85">
        <v>0.42</v>
      </c>
      <c r="D52" s="85">
        <v>0</v>
      </c>
      <c r="E52" s="85">
        <v>0.49</v>
      </c>
      <c r="F52" s="85">
        <v>0</v>
      </c>
      <c r="G52" s="86">
        <v>38.840000000000003</v>
      </c>
      <c r="H52" s="86">
        <v>0</v>
      </c>
      <c r="I52" s="86">
        <v>31.2</v>
      </c>
      <c r="J52" s="87">
        <v>13</v>
      </c>
      <c r="K52" s="86">
        <v>48.19</v>
      </c>
      <c r="L52" s="87">
        <v>15.6</v>
      </c>
    </row>
    <row r="53" spans="1:12" ht="27" x14ac:dyDescent="0.25">
      <c r="A53" s="63">
        <v>42</v>
      </c>
      <c r="B53" s="64" t="s">
        <v>55</v>
      </c>
      <c r="C53" s="65">
        <v>6.27</v>
      </c>
      <c r="D53" s="65">
        <v>0</v>
      </c>
      <c r="E53" s="65">
        <v>-10.8</v>
      </c>
      <c r="F53" s="65">
        <v>0</v>
      </c>
      <c r="G53" s="66">
        <v>-1.57</v>
      </c>
      <c r="H53" s="66">
        <v>0</v>
      </c>
      <c r="I53" s="66">
        <v>29.07</v>
      </c>
      <c r="J53" s="67">
        <v>0</v>
      </c>
      <c r="K53" s="66">
        <v>39.270000000000003</v>
      </c>
      <c r="L53" s="67">
        <v>3.1</v>
      </c>
    </row>
    <row r="54" spans="1:12" s="77" customFormat="1" ht="27" x14ac:dyDescent="0.25">
      <c r="A54" s="81">
        <v>43</v>
      </c>
      <c r="B54" s="82" t="s">
        <v>56</v>
      </c>
      <c r="C54" s="85">
        <v>72.92</v>
      </c>
      <c r="D54" s="85">
        <v>0</v>
      </c>
      <c r="E54" s="85">
        <v>-48.59</v>
      </c>
      <c r="F54" s="85">
        <v>0</v>
      </c>
      <c r="G54" s="86">
        <v>-106.82</v>
      </c>
      <c r="H54" s="86">
        <v>0</v>
      </c>
      <c r="I54" s="86">
        <v>-115.82</v>
      </c>
      <c r="J54" s="87">
        <v>0</v>
      </c>
      <c r="K54" s="86">
        <v>29.53</v>
      </c>
      <c r="L54" s="87">
        <v>0</v>
      </c>
    </row>
    <row r="55" spans="1:12" ht="27" x14ac:dyDescent="0.25">
      <c r="A55" s="63">
        <v>44</v>
      </c>
      <c r="B55" s="64" t="s">
        <v>25</v>
      </c>
      <c r="C55" s="65">
        <v>157.93</v>
      </c>
      <c r="D55" s="65">
        <v>40</v>
      </c>
      <c r="E55" s="65">
        <v>30.21</v>
      </c>
      <c r="F55" s="65">
        <v>25</v>
      </c>
      <c r="G55" s="66">
        <v>225.06</v>
      </c>
      <c r="H55" s="66">
        <v>35</v>
      </c>
      <c r="I55" s="66">
        <v>125.64</v>
      </c>
      <c r="J55" s="67">
        <v>0</v>
      </c>
      <c r="K55" s="66">
        <v>73.819999999999993</v>
      </c>
      <c r="L55" s="67">
        <v>0</v>
      </c>
    </row>
    <row r="56" spans="1:12" s="77" customFormat="1" ht="27" x14ac:dyDescent="0.25">
      <c r="A56" s="81">
        <v>45</v>
      </c>
      <c r="B56" s="82" t="s">
        <v>54</v>
      </c>
      <c r="C56" s="85">
        <v>2.25</v>
      </c>
      <c r="D56" s="85">
        <v>0</v>
      </c>
      <c r="E56" s="85">
        <v>0.28000000000000003</v>
      </c>
      <c r="F56" s="85">
        <v>0</v>
      </c>
      <c r="G56" s="98">
        <v>0.7</v>
      </c>
      <c r="H56" s="86">
        <v>0</v>
      </c>
      <c r="I56" s="86">
        <v>0.53</v>
      </c>
      <c r="J56" s="87">
        <v>0</v>
      </c>
      <c r="K56" s="86">
        <v>0.44</v>
      </c>
      <c r="L56" s="87">
        <v>0</v>
      </c>
    </row>
    <row r="57" spans="1:12" ht="27" x14ac:dyDescent="0.25">
      <c r="A57" s="63">
        <v>46</v>
      </c>
      <c r="B57" s="64" t="s">
        <v>27</v>
      </c>
      <c r="C57" s="65">
        <v>85.61</v>
      </c>
      <c r="D57" s="65">
        <v>9.8000000000000007</v>
      </c>
      <c r="E57" s="65">
        <v>82.27</v>
      </c>
      <c r="F57" s="65">
        <v>9.8000000000000007</v>
      </c>
      <c r="G57" s="66">
        <v>26.02</v>
      </c>
      <c r="H57" s="66">
        <v>9.8000000000000007</v>
      </c>
      <c r="I57" s="66">
        <v>10.55</v>
      </c>
      <c r="J57" s="67">
        <v>0</v>
      </c>
      <c r="K57" s="66">
        <v>55.08</v>
      </c>
      <c r="L57" s="67">
        <v>9.8000000000000007</v>
      </c>
    </row>
    <row r="58" spans="1:12" s="77" customFormat="1" ht="27" x14ac:dyDescent="0.25">
      <c r="A58" s="91">
        <v>47</v>
      </c>
      <c r="B58" s="82" t="s">
        <v>53</v>
      </c>
      <c r="C58" s="85">
        <v>25.58</v>
      </c>
      <c r="D58" s="85">
        <v>0</v>
      </c>
      <c r="E58" s="85">
        <v>21.48</v>
      </c>
      <c r="F58" s="85">
        <v>0</v>
      </c>
      <c r="G58" s="86">
        <v>-32.04</v>
      </c>
      <c r="H58" s="86">
        <v>0</v>
      </c>
      <c r="I58" s="86">
        <v>-39.99</v>
      </c>
      <c r="J58" s="87">
        <v>0</v>
      </c>
      <c r="K58" s="86">
        <v>-30.82</v>
      </c>
      <c r="L58" s="87">
        <v>0</v>
      </c>
    </row>
    <row r="59" spans="1:12" x14ac:dyDescent="0.25">
      <c r="A59" s="256" t="s">
        <v>18</v>
      </c>
      <c r="B59" s="271"/>
      <c r="C59" s="76">
        <f>SUM(C52:C58)</f>
        <v>350.98</v>
      </c>
      <c r="D59" s="76">
        <f t="shared" ref="D59:L59" si="3">SUM(D52:D58)</f>
        <v>49.8</v>
      </c>
      <c r="E59" s="76">
        <f t="shared" si="3"/>
        <v>75.339999999999989</v>
      </c>
      <c r="F59" s="76">
        <f t="shared" si="3"/>
        <v>34.799999999999997</v>
      </c>
      <c r="G59" s="76">
        <f t="shared" si="3"/>
        <v>150.19000000000003</v>
      </c>
      <c r="H59" s="76">
        <f t="shared" si="3"/>
        <v>44.8</v>
      </c>
      <c r="I59" s="76">
        <f t="shared" si="3"/>
        <v>41.18</v>
      </c>
      <c r="J59" s="76">
        <f t="shared" si="3"/>
        <v>13</v>
      </c>
      <c r="K59" s="76">
        <f t="shared" si="3"/>
        <v>215.51</v>
      </c>
      <c r="L59" s="76">
        <f t="shared" si="3"/>
        <v>28.5</v>
      </c>
    </row>
    <row r="60" spans="1:12" s="100" customFormat="1" x14ac:dyDescent="0.25">
      <c r="A60" s="258" t="s">
        <v>72</v>
      </c>
      <c r="B60" s="259"/>
      <c r="C60" s="99">
        <f>C23+C43+C50+C59</f>
        <v>6146.2878000000001</v>
      </c>
      <c r="D60" s="99">
        <f t="shared" ref="D60:L60" si="4">D23+D43+D50+D59</f>
        <v>1945.5000000000002</v>
      </c>
      <c r="E60" s="99">
        <f t="shared" si="4"/>
        <v>6482.2800000000007</v>
      </c>
      <c r="F60" s="99">
        <f t="shared" si="4"/>
        <v>1926.35</v>
      </c>
      <c r="G60" s="99">
        <f t="shared" si="4"/>
        <v>7071.14</v>
      </c>
      <c r="H60" s="99">
        <f t="shared" si="4"/>
        <v>2744.04</v>
      </c>
      <c r="I60" s="99">
        <f t="shared" si="4"/>
        <v>10232.769999999999</v>
      </c>
      <c r="J60" s="99">
        <f t="shared" si="4"/>
        <v>3786.84</v>
      </c>
      <c r="K60" s="99">
        <f t="shared" si="4"/>
        <v>12056.609999999999</v>
      </c>
      <c r="L60" s="99">
        <f t="shared" si="4"/>
        <v>4457.46</v>
      </c>
    </row>
  </sheetData>
  <mergeCells count="25">
    <mergeCell ref="A60:B60"/>
    <mergeCell ref="C29:F29"/>
    <mergeCell ref="C35:H35"/>
    <mergeCell ref="C36:J36"/>
    <mergeCell ref="C37:H37"/>
    <mergeCell ref="C38:H38"/>
    <mergeCell ref="C39:J39"/>
    <mergeCell ref="A43:B43"/>
    <mergeCell ref="A44:L44"/>
    <mergeCell ref="A50:B50"/>
    <mergeCell ref="A51:L51"/>
    <mergeCell ref="A59:B59"/>
    <mergeCell ref="A24:L24"/>
    <mergeCell ref="A1:L1"/>
    <mergeCell ref="A2:L2"/>
    <mergeCell ref="C3:D3"/>
    <mergeCell ref="E3:F3"/>
    <mergeCell ref="G3:H3"/>
    <mergeCell ref="I3:J3"/>
    <mergeCell ref="K3:L3"/>
    <mergeCell ref="A5:L5"/>
    <mergeCell ref="I15:L15"/>
    <mergeCell ref="I17:L17"/>
    <mergeCell ref="C20:L20"/>
    <mergeCell ref="A23:B23"/>
  </mergeCells>
  <pageMargins left="0.7" right="0.7" top="0.75" bottom="0.75" header="0.3" footer="0.3"/>
  <pageSetup scale="68" fitToHeight="2" orientation="portrait" r:id="rId1"/>
  <headerFooter>
    <oddHeader xml:space="preserve">&amp;R&amp;"Times New Roman,Bold Italic"Annexure </oddHeader>
    <oddFooter xml:space="preserve">&amp;L&amp;"Times New Roman,Bold Italic"Report No.   of 2024&amp;R&amp;"Times New Roman,Bold Italic"Page No.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view="pageLayout" topLeftCell="A10" zoomScaleNormal="100" zoomScaleSheetLayoutView="130" workbookViewId="0">
      <selection activeCell="B42" sqref="B42"/>
    </sheetView>
  </sheetViews>
  <sheetFormatPr defaultColWidth="9.140625" defaultRowHeight="15" x14ac:dyDescent="0.25"/>
  <cols>
    <col min="1" max="1" width="4.85546875" style="1" customWidth="1"/>
    <col min="2" max="2" width="35.140625" style="1" bestFit="1" customWidth="1"/>
    <col min="3" max="3" width="10.5703125" style="1" bestFit="1" customWidth="1"/>
    <col min="4" max="4" width="7.85546875" style="1" bestFit="1" customWidth="1"/>
    <col min="5" max="5" width="7.7109375" style="1" bestFit="1" customWidth="1"/>
    <col min="6" max="6" width="8.5703125" style="1" bestFit="1" customWidth="1"/>
    <col min="7" max="7" width="7.85546875" style="1" bestFit="1" customWidth="1"/>
    <col min="8" max="8" width="8" style="1" bestFit="1" customWidth="1"/>
    <col min="9" max="9" width="10.5703125" style="1" bestFit="1" customWidth="1"/>
    <col min="10" max="10" width="7.85546875" style="1" bestFit="1" customWidth="1"/>
    <col min="11" max="11" width="8" style="1" bestFit="1" customWidth="1"/>
    <col min="12" max="12" width="9.85546875" style="1" bestFit="1" customWidth="1"/>
    <col min="13" max="13" width="8.42578125" style="1" bestFit="1" customWidth="1"/>
    <col min="14" max="14" width="8" style="1" bestFit="1" customWidth="1"/>
    <col min="15" max="15" width="10.5703125" style="1" bestFit="1" customWidth="1"/>
    <col min="16" max="16" width="9.5703125" style="1" bestFit="1" customWidth="1"/>
    <col min="17" max="17" width="8" style="1" bestFit="1" customWidth="1"/>
    <col min="18" max="16384" width="9.140625" style="1"/>
  </cols>
  <sheetData>
    <row r="1" spans="1:17" x14ac:dyDescent="0.25">
      <c r="A1" s="290" t="s">
        <v>195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2"/>
    </row>
    <row r="2" spans="1:17" s="102" customFormat="1" x14ac:dyDescent="0.25">
      <c r="A2" s="293" t="s">
        <v>158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5"/>
    </row>
    <row r="3" spans="1:17" x14ac:dyDescent="0.25">
      <c r="A3" s="296" t="s">
        <v>61</v>
      </c>
      <c r="B3" s="296" t="s">
        <v>0</v>
      </c>
      <c r="C3" s="297" t="s">
        <v>1</v>
      </c>
      <c r="D3" s="297"/>
      <c r="E3" s="297"/>
      <c r="F3" s="297" t="s">
        <v>2</v>
      </c>
      <c r="G3" s="297"/>
      <c r="H3" s="297"/>
      <c r="I3" s="297" t="s">
        <v>74</v>
      </c>
      <c r="J3" s="297"/>
      <c r="K3" s="297"/>
      <c r="L3" s="297" t="s">
        <v>75</v>
      </c>
      <c r="M3" s="297"/>
      <c r="N3" s="297"/>
      <c r="O3" s="297" t="s">
        <v>76</v>
      </c>
      <c r="P3" s="297"/>
      <c r="Q3" s="297"/>
    </row>
    <row r="4" spans="1:17" ht="26.25" customHeight="1" x14ac:dyDescent="0.25">
      <c r="A4" s="296"/>
      <c r="B4" s="296"/>
      <c r="C4" s="178" t="s">
        <v>199</v>
      </c>
      <c r="D4" s="101" t="s">
        <v>200</v>
      </c>
      <c r="E4" s="101" t="s">
        <v>115</v>
      </c>
      <c r="F4" s="165" t="s">
        <v>199</v>
      </c>
      <c r="G4" s="101" t="s">
        <v>200</v>
      </c>
      <c r="H4" s="101" t="s">
        <v>115</v>
      </c>
      <c r="I4" s="165" t="s">
        <v>199</v>
      </c>
      <c r="J4" s="101" t="s">
        <v>200</v>
      </c>
      <c r="K4" s="101" t="s">
        <v>115</v>
      </c>
      <c r="L4" s="165" t="s">
        <v>199</v>
      </c>
      <c r="M4" s="101" t="s">
        <v>200</v>
      </c>
      <c r="N4" s="101" t="s">
        <v>115</v>
      </c>
      <c r="O4" s="165" t="s">
        <v>199</v>
      </c>
      <c r="P4" s="101" t="s">
        <v>200</v>
      </c>
      <c r="Q4" s="101" t="s">
        <v>115</v>
      </c>
    </row>
    <row r="5" spans="1:17" s="102" customFormat="1" ht="15" customHeight="1" x14ac:dyDescent="0.25">
      <c r="A5" s="298" t="s">
        <v>133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300"/>
    </row>
    <row r="6" spans="1:17" ht="25.5" x14ac:dyDescent="0.25">
      <c r="A6" s="169">
        <v>1</v>
      </c>
      <c r="B6" s="50" t="s">
        <v>139</v>
      </c>
      <c r="C6" s="148">
        <v>11298.9</v>
      </c>
      <c r="D6" s="148">
        <v>24.53</v>
      </c>
      <c r="E6" s="148">
        <f>(D6/C6)*100</f>
        <v>0.21710077972191985</v>
      </c>
      <c r="F6" s="148">
        <v>14256.29</v>
      </c>
      <c r="G6" s="148">
        <v>-90.52</v>
      </c>
      <c r="H6" s="148">
        <f>(G6/F6)*100</f>
        <v>-0.63494780198775413</v>
      </c>
      <c r="I6" s="149">
        <v>14370.56</v>
      </c>
      <c r="J6" s="149">
        <v>112.45</v>
      </c>
      <c r="K6" s="149">
        <f>J6/I6*100</f>
        <v>0.78250256079095049</v>
      </c>
      <c r="L6" s="149">
        <v>15994.76</v>
      </c>
      <c r="M6" s="149">
        <v>-16.149999999999999</v>
      </c>
      <c r="N6" s="149">
        <f>M6/L6*100</f>
        <v>-0.10097056786097447</v>
      </c>
      <c r="O6" s="149">
        <v>15975.94</v>
      </c>
      <c r="P6" s="149">
        <v>-19.7</v>
      </c>
      <c r="Q6" s="149">
        <f>P6/O6*100</f>
        <v>-0.1233104280561895</v>
      </c>
    </row>
    <row r="7" spans="1:17" s="102" customFormat="1" x14ac:dyDescent="0.25">
      <c r="A7" s="170">
        <v>2</v>
      </c>
      <c r="B7" s="59" t="s">
        <v>35</v>
      </c>
      <c r="C7" s="144">
        <v>10367.870000000001</v>
      </c>
      <c r="D7" s="144">
        <v>1215.4100000000001</v>
      </c>
      <c r="E7" s="144">
        <f t="shared" ref="E7:E60" si="0">(D7/C7)*100</f>
        <v>11.722851463222437</v>
      </c>
      <c r="F7" s="144">
        <v>10064.74</v>
      </c>
      <c r="G7" s="144">
        <v>375.78</v>
      </c>
      <c r="H7" s="144">
        <f t="shared" ref="H7:H23" si="1">(G7/F7)*100</f>
        <v>3.7336284891611706</v>
      </c>
      <c r="I7" s="145">
        <v>10203.74</v>
      </c>
      <c r="J7" s="145">
        <v>503.33</v>
      </c>
      <c r="K7" s="145">
        <f t="shared" ref="K7:K34" si="2">J7/I7*100</f>
        <v>4.9327991501155459</v>
      </c>
      <c r="L7" s="145">
        <v>10777.3</v>
      </c>
      <c r="M7" s="145">
        <v>1062.3399999999999</v>
      </c>
      <c r="N7" s="145">
        <f t="shared" ref="N7:N60" si="3">M7/L7*100</f>
        <v>9.8571998552513147</v>
      </c>
      <c r="O7" s="145">
        <v>11244.98</v>
      </c>
      <c r="P7" s="145">
        <v>1169.08</v>
      </c>
      <c r="Q7" s="145">
        <f t="shared" ref="Q7:Q42" si="4">P7/O7*100</f>
        <v>10.39646135431099</v>
      </c>
    </row>
    <row r="8" spans="1:17" ht="25.5" x14ac:dyDescent="0.25">
      <c r="A8" s="169">
        <v>3</v>
      </c>
      <c r="B8" s="50" t="s">
        <v>8</v>
      </c>
      <c r="C8" s="148">
        <v>1071.02</v>
      </c>
      <c r="D8" s="148">
        <v>308.56</v>
      </c>
      <c r="E8" s="148">
        <f>(D8/C8)*100</f>
        <v>28.809919515975423</v>
      </c>
      <c r="F8" s="148">
        <v>1313.82</v>
      </c>
      <c r="G8" s="148">
        <v>513.11</v>
      </c>
      <c r="H8" s="148">
        <f t="shared" si="1"/>
        <v>39.054817250460495</v>
      </c>
      <c r="I8" s="149">
        <v>1455.81</v>
      </c>
      <c r="J8" s="149">
        <v>187.03</v>
      </c>
      <c r="K8" s="149">
        <f t="shared" si="2"/>
        <v>12.847143514606991</v>
      </c>
      <c r="L8" s="149">
        <v>1870.31</v>
      </c>
      <c r="M8" s="149">
        <v>659.55</v>
      </c>
      <c r="N8" s="149">
        <f t="shared" si="3"/>
        <v>35.264207537787854</v>
      </c>
      <c r="O8" s="149">
        <v>2478.4</v>
      </c>
      <c r="P8" s="149">
        <v>1005.88</v>
      </c>
      <c r="Q8" s="149">
        <f t="shared" si="4"/>
        <v>40.585861846352486</v>
      </c>
    </row>
    <row r="9" spans="1:17" s="102" customFormat="1" ht="12.75" customHeight="1" x14ac:dyDescent="0.25">
      <c r="A9" s="170">
        <v>4</v>
      </c>
      <c r="B9" s="59" t="s">
        <v>159</v>
      </c>
      <c r="C9" s="144">
        <v>18585.509999999998</v>
      </c>
      <c r="D9" s="144">
        <v>2254.75</v>
      </c>
      <c r="E9" s="144">
        <f t="shared" si="0"/>
        <v>12.131762862574124</v>
      </c>
      <c r="F9" s="144">
        <v>30962.43</v>
      </c>
      <c r="G9" s="144">
        <v>3692.42</v>
      </c>
      <c r="H9" s="144">
        <f t="shared" si="1"/>
        <v>11.92548517671255</v>
      </c>
      <c r="I9" s="145">
        <v>35913.379999999997</v>
      </c>
      <c r="J9" s="145">
        <v>4416.13</v>
      </c>
      <c r="K9" s="145">
        <f t="shared" si="2"/>
        <v>12.296614799275368</v>
      </c>
      <c r="L9" s="145">
        <v>40996.339999999997</v>
      </c>
      <c r="M9" s="145">
        <v>6089.84</v>
      </c>
      <c r="N9" s="145">
        <f t="shared" si="3"/>
        <v>14.854594336957886</v>
      </c>
      <c r="O9" s="145">
        <v>45470.31</v>
      </c>
      <c r="P9" s="145">
        <v>6337.01</v>
      </c>
      <c r="Q9" s="145">
        <f t="shared" si="4"/>
        <v>13.93658851237214</v>
      </c>
    </row>
    <row r="10" spans="1:17" x14ac:dyDescent="0.25">
      <c r="A10" s="169">
        <v>5</v>
      </c>
      <c r="B10" s="50" t="s">
        <v>118</v>
      </c>
      <c r="C10" s="148">
        <v>3949.54</v>
      </c>
      <c r="D10" s="148">
        <v>444.68</v>
      </c>
      <c r="E10" s="148">
        <f t="shared" si="0"/>
        <v>11.259032697478693</v>
      </c>
      <c r="F10" s="148">
        <v>4161.1400000000003</v>
      </c>
      <c r="G10" s="148">
        <v>489.79</v>
      </c>
      <c r="H10" s="148">
        <f t="shared" si="1"/>
        <v>11.770572487347216</v>
      </c>
      <c r="I10" s="149">
        <v>4406.4799999999996</v>
      </c>
      <c r="J10" s="149">
        <v>404.56</v>
      </c>
      <c r="K10" s="149">
        <f t="shared" si="2"/>
        <v>9.1810243096530577</v>
      </c>
      <c r="L10" s="149">
        <v>4620.96</v>
      </c>
      <c r="M10" s="149">
        <v>544.32000000000005</v>
      </c>
      <c r="N10" s="149">
        <f t="shared" si="3"/>
        <v>11.779370520411344</v>
      </c>
      <c r="O10" s="149">
        <v>5178.4799999999996</v>
      </c>
      <c r="P10" s="149">
        <v>776.83</v>
      </c>
      <c r="Q10" s="149">
        <f t="shared" si="4"/>
        <v>15.001120019774145</v>
      </c>
    </row>
    <row r="11" spans="1:17" s="102" customFormat="1" x14ac:dyDescent="0.25">
      <c r="A11" s="170">
        <v>6</v>
      </c>
      <c r="B11" s="59" t="s">
        <v>11</v>
      </c>
      <c r="C11" s="144">
        <v>3738.76</v>
      </c>
      <c r="D11" s="144">
        <v>606.59</v>
      </c>
      <c r="E11" s="144">
        <f t="shared" si="0"/>
        <v>16.224363157838429</v>
      </c>
      <c r="F11" s="144">
        <v>4499.7700000000004</v>
      </c>
      <c r="G11" s="144">
        <v>789.86</v>
      </c>
      <c r="H11" s="144">
        <f t="shared" si="1"/>
        <v>17.553341615238111</v>
      </c>
      <c r="I11" s="145">
        <v>4965.58</v>
      </c>
      <c r="J11" s="145">
        <v>940.55</v>
      </c>
      <c r="K11" s="145">
        <f t="shared" si="2"/>
        <v>18.94139254628865</v>
      </c>
      <c r="L11" s="145">
        <v>5631.41</v>
      </c>
      <c r="M11" s="145">
        <v>1087.3499999999999</v>
      </c>
      <c r="N11" s="145">
        <f t="shared" si="3"/>
        <v>19.308663372050695</v>
      </c>
      <c r="O11" s="145">
        <v>6479.15</v>
      </c>
      <c r="P11" s="145">
        <v>1267.97</v>
      </c>
      <c r="Q11" s="145">
        <f t="shared" si="4"/>
        <v>19.570005324772541</v>
      </c>
    </row>
    <row r="12" spans="1:17" x14ac:dyDescent="0.25">
      <c r="A12" s="169">
        <v>7</v>
      </c>
      <c r="B12" s="50" t="s">
        <v>12</v>
      </c>
      <c r="C12" s="148">
        <v>1283.73</v>
      </c>
      <c r="D12" s="148">
        <v>109.8</v>
      </c>
      <c r="E12" s="148">
        <f t="shared" si="0"/>
        <v>8.553200439344721</v>
      </c>
      <c r="F12" s="148">
        <v>1361.28</v>
      </c>
      <c r="G12" s="148">
        <v>138.35</v>
      </c>
      <c r="H12" s="148">
        <f t="shared" si="1"/>
        <v>10.16322872590503</v>
      </c>
      <c r="I12" s="149">
        <v>1402.73</v>
      </c>
      <c r="J12" s="149">
        <v>140.41</v>
      </c>
      <c r="K12" s="149">
        <f t="shared" si="2"/>
        <v>10.009766669280616</v>
      </c>
      <c r="L12" s="149">
        <v>1516.02</v>
      </c>
      <c r="M12" s="149">
        <v>208.34</v>
      </c>
      <c r="N12" s="149">
        <f t="shared" si="3"/>
        <v>13.742562763024235</v>
      </c>
      <c r="O12" s="149">
        <v>1636.5</v>
      </c>
      <c r="P12" s="149">
        <v>187.38</v>
      </c>
      <c r="Q12" s="149">
        <f t="shared" si="4"/>
        <v>11.450045829514206</v>
      </c>
    </row>
    <row r="13" spans="1:17" s="102" customFormat="1" x14ac:dyDescent="0.25">
      <c r="A13" s="170">
        <v>8</v>
      </c>
      <c r="B13" s="59" t="s">
        <v>13</v>
      </c>
      <c r="C13" s="144">
        <v>2383.83</v>
      </c>
      <c r="D13" s="144">
        <v>444.65</v>
      </c>
      <c r="E13" s="144">
        <f t="shared" si="0"/>
        <v>18.65275627876149</v>
      </c>
      <c r="F13" s="144">
        <v>2576.62</v>
      </c>
      <c r="G13" s="144">
        <v>596.39</v>
      </c>
      <c r="H13" s="144">
        <f t="shared" si="1"/>
        <v>23.146214808547633</v>
      </c>
      <c r="I13" s="145">
        <v>2321.9299999999998</v>
      </c>
      <c r="J13" s="145">
        <v>424.35</v>
      </c>
      <c r="K13" s="145">
        <f t="shared" si="2"/>
        <v>18.275744746826994</v>
      </c>
      <c r="L13" s="145">
        <v>2399.2600000000002</v>
      </c>
      <c r="M13" s="145">
        <v>497.1</v>
      </c>
      <c r="N13" s="145">
        <f t="shared" si="3"/>
        <v>20.718888323899868</v>
      </c>
      <c r="O13" s="145">
        <v>2503.04</v>
      </c>
      <c r="P13" s="145">
        <v>530.54</v>
      </c>
      <c r="Q13" s="145">
        <f t="shared" si="4"/>
        <v>21.195825875735107</v>
      </c>
    </row>
    <row r="14" spans="1:17" x14ac:dyDescent="0.25">
      <c r="A14" s="169">
        <v>9</v>
      </c>
      <c r="B14" s="50" t="s">
        <v>119</v>
      </c>
      <c r="C14" s="148">
        <v>63.68</v>
      </c>
      <c r="D14" s="148">
        <v>7.86</v>
      </c>
      <c r="E14" s="148">
        <f t="shared" si="0"/>
        <v>12.342964824120603</v>
      </c>
      <c r="F14" s="148">
        <v>83.45</v>
      </c>
      <c r="G14" s="148">
        <v>19.78</v>
      </c>
      <c r="H14" s="148">
        <f t="shared" si="1"/>
        <v>23.702816057519474</v>
      </c>
      <c r="I14" s="149">
        <v>108.17</v>
      </c>
      <c r="J14" s="149">
        <v>24.72</v>
      </c>
      <c r="K14" s="149">
        <f t="shared" si="2"/>
        <v>22.852916705186281</v>
      </c>
      <c r="L14" s="149">
        <v>150.59</v>
      </c>
      <c r="M14" s="149">
        <v>42.42</v>
      </c>
      <c r="N14" s="149">
        <f t="shared" si="3"/>
        <v>28.169201142174117</v>
      </c>
      <c r="O14" s="171">
        <v>200.32</v>
      </c>
      <c r="P14" s="171">
        <v>49.72</v>
      </c>
      <c r="Q14" s="149">
        <f t="shared" si="4"/>
        <v>24.820287539936103</v>
      </c>
    </row>
    <row r="15" spans="1:17" s="102" customFormat="1" x14ac:dyDescent="0.25">
      <c r="A15" s="170">
        <v>10</v>
      </c>
      <c r="B15" s="59" t="s">
        <v>160</v>
      </c>
      <c r="C15" s="144">
        <v>496.9</v>
      </c>
      <c r="D15" s="144">
        <v>192.52</v>
      </c>
      <c r="E15" s="144">
        <f t="shared" si="0"/>
        <v>38.744214127591071</v>
      </c>
      <c r="F15" s="144">
        <v>497.38</v>
      </c>
      <c r="G15" s="144">
        <v>0.47</v>
      </c>
      <c r="H15" s="144">
        <f t="shared" si="1"/>
        <v>9.4495154610157228E-2</v>
      </c>
      <c r="I15" s="145">
        <v>497.24</v>
      </c>
      <c r="J15" s="145">
        <v>-0.14000000000000001</v>
      </c>
      <c r="K15" s="145">
        <f t="shared" si="2"/>
        <v>-2.8155417906845791E-2</v>
      </c>
      <c r="L15" s="145">
        <v>0</v>
      </c>
      <c r="M15" s="145">
        <v>0</v>
      </c>
      <c r="N15" s="145">
        <v>0</v>
      </c>
      <c r="O15" s="277" t="s">
        <v>86</v>
      </c>
      <c r="P15" s="278"/>
      <c r="Q15" s="280"/>
    </row>
    <row r="16" spans="1:17" x14ac:dyDescent="0.25">
      <c r="A16" s="169">
        <v>11</v>
      </c>
      <c r="B16" s="50" t="s">
        <v>15</v>
      </c>
      <c r="C16" s="148">
        <v>1422.04</v>
      </c>
      <c r="D16" s="148">
        <v>-34.97</v>
      </c>
      <c r="E16" s="148">
        <f t="shared" si="0"/>
        <v>-2.4591432027228488</v>
      </c>
      <c r="F16" s="148">
        <v>1185.08</v>
      </c>
      <c r="G16" s="148">
        <v>-236.92</v>
      </c>
      <c r="H16" s="148">
        <f t="shared" si="1"/>
        <v>-19.991899281061194</v>
      </c>
      <c r="I16" s="149">
        <v>1403</v>
      </c>
      <c r="J16" s="149">
        <v>0</v>
      </c>
      <c r="K16" s="149">
        <f t="shared" si="2"/>
        <v>0</v>
      </c>
      <c r="L16" s="149">
        <v>3758.62</v>
      </c>
      <c r="M16" s="149">
        <v>0.05</v>
      </c>
      <c r="N16" s="149">
        <f t="shared" si="3"/>
        <v>1.3302754734450411E-3</v>
      </c>
      <c r="O16" s="149">
        <v>3759.35</v>
      </c>
      <c r="P16" s="149">
        <v>0.75</v>
      </c>
      <c r="Q16" s="149">
        <f t="shared" si="4"/>
        <v>1.9950257358319921E-2</v>
      </c>
    </row>
    <row r="17" spans="1:17" s="102" customFormat="1" ht="15.75" customHeight="1" x14ac:dyDescent="0.25">
      <c r="A17" s="170">
        <v>12</v>
      </c>
      <c r="B17" s="59" t="s">
        <v>40</v>
      </c>
      <c r="C17" s="144">
        <v>-99.25</v>
      </c>
      <c r="D17" s="144">
        <v>-1.42</v>
      </c>
      <c r="E17" s="144">
        <f t="shared" si="0"/>
        <v>1.4307304785894206</v>
      </c>
      <c r="F17" s="144">
        <v>-89.99</v>
      </c>
      <c r="G17" s="144">
        <v>9.25</v>
      </c>
      <c r="H17" s="144">
        <f t="shared" si="1"/>
        <v>-10.278919879986665</v>
      </c>
      <c r="I17" s="145">
        <v>5.58</v>
      </c>
      <c r="J17" s="145">
        <v>95.58</v>
      </c>
      <c r="K17" s="145">
        <f t="shared" si="2"/>
        <v>1712.9032258064517</v>
      </c>
      <c r="L17" s="145">
        <v>0</v>
      </c>
      <c r="M17" s="145">
        <v>0</v>
      </c>
      <c r="N17" s="145">
        <v>0</v>
      </c>
      <c r="O17" s="219" t="s">
        <v>86</v>
      </c>
      <c r="P17" s="219"/>
      <c r="Q17" s="219"/>
    </row>
    <row r="18" spans="1:17" x14ac:dyDescent="0.25">
      <c r="A18" s="169">
        <v>13</v>
      </c>
      <c r="B18" s="50" t="s">
        <v>16</v>
      </c>
      <c r="C18" s="148">
        <v>2068.09</v>
      </c>
      <c r="D18" s="148">
        <v>101.87</v>
      </c>
      <c r="E18" s="148">
        <f t="shared" si="0"/>
        <v>4.9258011014994514</v>
      </c>
      <c r="F18" s="148">
        <v>1911.31</v>
      </c>
      <c r="G18" s="148">
        <v>3.84</v>
      </c>
      <c r="H18" s="148">
        <f t="shared" si="1"/>
        <v>0.20090932397151692</v>
      </c>
      <c r="I18" s="149">
        <v>1570.18</v>
      </c>
      <c r="J18" s="149">
        <v>-366.41</v>
      </c>
      <c r="K18" s="149">
        <f t="shared" si="2"/>
        <v>-23.335541148148621</v>
      </c>
      <c r="L18" s="149">
        <v>1458.69</v>
      </c>
      <c r="M18" s="149">
        <v>-140.87</v>
      </c>
      <c r="N18" s="149">
        <f t="shared" si="3"/>
        <v>-9.6572952443630928</v>
      </c>
      <c r="O18" s="149">
        <v>1792.43</v>
      </c>
      <c r="P18" s="149">
        <v>278.93</v>
      </c>
      <c r="Q18" s="149">
        <f t="shared" si="4"/>
        <v>15.561556099819798</v>
      </c>
    </row>
    <row r="19" spans="1:17" s="102" customFormat="1" ht="13.5" customHeight="1" x14ac:dyDescent="0.25">
      <c r="A19" s="170">
        <v>14</v>
      </c>
      <c r="B19" s="59" t="s">
        <v>120</v>
      </c>
      <c r="C19" s="144">
        <v>246.25</v>
      </c>
      <c r="D19" s="144">
        <v>35.869999999999997</v>
      </c>
      <c r="E19" s="144">
        <f t="shared" si="0"/>
        <v>14.566497461928932</v>
      </c>
      <c r="F19" s="144">
        <v>244.34</v>
      </c>
      <c r="G19" s="144">
        <v>19.600000000000001</v>
      </c>
      <c r="H19" s="144">
        <f t="shared" si="1"/>
        <v>8.0216092330359334</v>
      </c>
      <c r="I19" s="145">
        <v>240.3</v>
      </c>
      <c r="J19" s="145">
        <v>23.25</v>
      </c>
      <c r="K19" s="145">
        <f t="shared" si="2"/>
        <v>9.6754057428214733</v>
      </c>
      <c r="L19" s="145">
        <v>235.2</v>
      </c>
      <c r="M19" s="145">
        <v>7.57</v>
      </c>
      <c r="N19" s="145">
        <f t="shared" si="3"/>
        <v>3.2185374149659864</v>
      </c>
      <c r="O19" s="145">
        <v>321.74</v>
      </c>
      <c r="P19" s="145">
        <v>87.42</v>
      </c>
      <c r="Q19" s="145">
        <f t="shared" si="4"/>
        <v>27.171007645925283</v>
      </c>
    </row>
    <row r="20" spans="1:17" x14ac:dyDescent="0.25">
      <c r="A20" s="169">
        <v>15</v>
      </c>
      <c r="B20" s="50" t="s">
        <v>161</v>
      </c>
      <c r="C20" s="301" t="s">
        <v>149</v>
      </c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3"/>
    </row>
    <row r="21" spans="1:17" s="102" customFormat="1" x14ac:dyDescent="0.25">
      <c r="A21" s="170">
        <v>16</v>
      </c>
      <c r="B21" s="59" t="s">
        <v>17</v>
      </c>
      <c r="C21" s="144">
        <v>0.5</v>
      </c>
      <c r="D21" s="144">
        <v>-0.5</v>
      </c>
      <c r="E21" s="144">
        <f t="shared" si="0"/>
        <v>-100</v>
      </c>
      <c r="F21" s="144">
        <v>0.99</v>
      </c>
      <c r="G21" s="144">
        <v>0.5</v>
      </c>
      <c r="H21" s="144">
        <f t="shared" si="1"/>
        <v>50.505050505050505</v>
      </c>
      <c r="I21" s="145">
        <v>1</v>
      </c>
      <c r="J21" s="145">
        <v>1E-3</v>
      </c>
      <c r="K21" s="145">
        <f t="shared" si="2"/>
        <v>0.1</v>
      </c>
      <c r="L21" s="145">
        <v>1.22</v>
      </c>
      <c r="M21" s="145">
        <v>0.22</v>
      </c>
      <c r="N21" s="145">
        <f t="shared" si="3"/>
        <v>18.032786885245901</v>
      </c>
      <c r="O21" s="145">
        <v>0.18</v>
      </c>
      <c r="P21" s="145">
        <v>-2.46</v>
      </c>
      <c r="Q21" s="145">
        <f t="shared" si="4"/>
        <v>-1366.6666666666667</v>
      </c>
    </row>
    <row r="22" spans="1:17" x14ac:dyDescent="0.25">
      <c r="A22" s="169">
        <v>17</v>
      </c>
      <c r="B22" s="50" t="s">
        <v>172</v>
      </c>
      <c r="C22" s="148">
        <f ca="1">-C22</f>
        <v>0</v>
      </c>
      <c r="D22" s="148">
        <v>2.97</v>
      </c>
      <c r="E22" s="148"/>
      <c r="F22" s="148"/>
      <c r="G22" s="148">
        <v>0.15</v>
      </c>
      <c r="H22" s="148"/>
      <c r="I22" s="149"/>
      <c r="J22" s="149">
        <v>0.79</v>
      </c>
      <c r="K22" s="149"/>
      <c r="L22" s="149"/>
      <c r="M22" s="149">
        <v>-5.0999999999999996</v>
      </c>
      <c r="N22" s="149"/>
      <c r="O22" s="149"/>
      <c r="P22" s="149">
        <v>3.1</v>
      </c>
      <c r="Q22" s="149"/>
    </row>
    <row r="23" spans="1:17" s="102" customFormat="1" x14ac:dyDescent="0.25">
      <c r="A23" s="282" t="s">
        <v>94</v>
      </c>
      <c r="B23" s="283"/>
      <c r="C23" s="164">
        <v>56877.37</v>
      </c>
      <c r="D23" s="164">
        <f>SUM(D6:D22)</f>
        <v>5713.17</v>
      </c>
      <c r="E23" s="141">
        <f t="shared" si="0"/>
        <v>10.044715499327763</v>
      </c>
      <c r="F23" s="164">
        <f>SUM(F6:F22)</f>
        <v>73028.649999999994</v>
      </c>
      <c r="G23" s="164">
        <f>SUM(G6:G22)</f>
        <v>6321.85</v>
      </c>
      <c r="H23" s="141">
        <f t="shared" si="1"/>
        <v>8.6566710462263785</v>
      </c>
      <c r="I23" s="164">
        <f>SUM(I6:I22)</f>
        <v>78865.679999999993</v>
      </c>
      <c r="J23" s="164">
        <f>SUM(J6:J22)</f>
        <v>6906.6010000000015</v>
      </c>
      <c r="K23" s="172">
        <f t="shared" si="2"/>
        <v>8.7574227471315815</v>
      </c>
      <c r="L23" s="164">
        <f>SUM(L6:L22)</f>
        <v>89410.68</v>
      </c>
      <c r="M23" s="164">
        <f>SUM(M6:M22)</f>
        <v>10036.979999999998</v>
      </c>
      <c r="N23" s="172">
        <f t="shared" si="3"/>
        <v>11.22570592237974</v>
      </c>
      <c r="O23" s="164">
        <f>SUM(O6:O22)</f>
        <v>97040.819999999992</v>
      </c>
      <c r="P23" s="164">
        <f>SUM(P6:P22)</f>
        <v>11672.449999999999</v>
      </c>
      <c r="Q23" s="172">
        <f t="shared" si="4"/>
        <v>12.028391763383697</v>
      </c>
    </row>
    <row r="24" spans="1:17" s="10" customFormat="1" x14ac:dyDescent="0.25">
      <c r="A24" s="272" t="s">
        <v>44</v>
      </c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4"/>
    </row>
    <row r="25" spans="1:17" s="102" customFormat="1" x14ac:dyDescent="0.25">
      <c r="A25" s="170">
        <v>18</v>
      </c>
      <c r="B25" s="59" t="s">
        <v>62</v>
      </c>
      <c r="C25" s="144">
        <v>53.49</v>
      </c>
      <c r="D25" s="144">
        <v>3.78E-2</v>
      </c>
      <c r="E25" s="144">
        <f>(D25/C25)*100</f>
        <v>7.0667414469994388E-2</v>
      </c>
      <c r="F25" s="144">
        <v>36.840000000000003</v>
      </c>
      <c r="G25" s="144">
        <v>7.2</v>
      </c>
      <c r="H25" s="144">
        <f>(G25/F25)*100</f>
        <v>19.543973941368076</v>
      </c>
      <c r="I25" s="145">
        <v>33.909999999999997</v>
      </c>
      <c r="J25" s="145">
        <v>-2.93</v>
      </c>
      <c r="K25" s="145">
        <f t="shared" si="2"/>
        <v>-8.6405190209377771</v>
      </c>
      <c r="L25" s="145">
        <v>24.24</v>
      </c>
      <c r="M25" s="145">
        <v>-9.65</v>
      </c>
      <c r="N25" s="145">
        <f t="shared" si="3"/>
        <v>-39.810231023102318</v>
      </c>
      <c r="O25" s="145">
        <v>23.13</v>
      </c>
      <c r="P25" s="145">
        <v>-1.1000000000000001</v>
      </c>
      <c r="Q25" s="145">
        <f t="shared" si="4"/>
        <v>-4.7557284911370523</v>
      </c>
    </row>
    <row r="26" spans="1:17" x14ac:dyDescent="0.25">
      <c r="A26" s="169">
        <v>19</v>
      </c>
      <c r="B26" s="50" t="s">
        <v>121</v>
      </c>
      <c r="C26" s="148">
        <v>-13.04</v>
      </c>
      <c r="D26" s="148">
        <v>-8.39</v>
      </c>
      <c r="E26" s="148">
        <f t="shared" si="0"/>
        <v>64.340490797546025</v>
      </c>
      <c r="F26" s="148">
        <v>36.39</v>
      </c>
      <c r="G26" s="148">
        <v>-6.45</v>
      </c>
      <c r="H26" s="148">
        <f>(G26/F26)*100</f>
        <v>-17.724649629018963</v>
      </c>
      <c r="I26" s="149">
        <v>31.56</v>
      </c>
      <c r="J26" s="149">
        <v>-4.84</v>
      </c>
      <c r="K26" s="149">
        <f t="shared" si="2"/>
        <v>-15.335868187579212</v>
      </c>
      <c r="L26" s="149">
        <v>33.29</v>
      </c>
      <c r="M26" s="149">
        <v>-3.73</v>
      </c>
      <c r="N26" s="149">
        <f t="shared" si="3"/>
        <v>-11.204565935716431</v>
      </c>
      <c r="O26" s="149">
        <v>38.92</v>
      </c>
      <c r="P26" s="149">
        <v>-2.57</v>
      </c>
      <c r="Q26" s="149">
        <f t="shared" si="4"/>
        <v>-6.6032887975334003</v>
      </c>
    </row>
    <row r="27" spans="1:17" s="102" customFormat="1" x14ac:dyDescent="0.25">
      <c r="A27" s="170">
        <v>20</v>
      </c>
      <c r="B27" s="59" t="s">
        <v>46</v>
      </c>
      <c r="C27" s="144">
        <v>174.84</v>
      </c>
      <c r="D27" s="144">
        <v>-11.87</v>
      </c>
      <c r="E27" s="144">
        <f t="shared" si="0"/>
        <v>-6.7890642873484328</v>
      </c>
      <c r="F27" s="144">
        <v>175.79</v>
      </c>
      <c r="G27" s="144">
        <v>0.95</v>
      </c>
      <c r="H27" s="144">
        <f>(G27/F27)*100</f>
        <v>0.5404175436600489</v>
      </c>
      <c r="I27" s="145">
        <v>166.65</v>
      </c>
      <c r="J27" s="145">
        <v>-9.1300000000000008</v>
      </c>
      <c r="K27" s="145">
        <f t="shared" si="2"/>
        <v>-5.4785478547854787</v>
      </c>
      <c r="L27" s="145">
        <v>160.69</v>
      </c>
      <c r="M27" s="145">
        <v>-5.93</v>
      </c>
      <c r="N27" s="145">
        <f t="shared" si="3"/>
        <v>-3.6903354284647456</v>
      </c>
      <c r="O27" s="145">
        <v>158.97999999999999</v>
      </c>
      <c r="P27" s="145">
        <v>-0.91</v>
      </c>
      <c r="Q27" s="145">
        <f t="shared" si="4"/>
        <v>-0.57239904390489382</v>
      </c>
    </row>
    <row r="28" spans="1:17" x14ac:dyDescent="0.25">
      <c r="A28" s="169">
        <v>21</v>
      </c>
      <c r="B28" s="50" t="s">
        <v>162</v>
      </c>
      <c r="C28" s="148">
        <v>83.77</v>
      </c>
      <c r="D28" s="148">
        <v>-4.68</v>
      </c>
      <c r="E28" s="148">
        <f t="shared" si="0"/>
        <v>-5.5867255580756838</v>
      </c>
      <c r="F28" s="148">
        <v>90.37</v>
      </c>
      <c r="G28" s="148">
        <v>6.6</v>
      </c>
      <c r="H28" s="148">
        <f>(G28/F28)*100</f>
        <v>7.3033086201172948</v>
      </c>
      <c r="I28" s="149">
        <v>90.08</v>
      </c>
      <c r="J28" s="149">
        <v>-0.28999999999999998</v>
      </c>
      <c r="K28" s="149">
        <f t="shared" si="2"/>
        <v>-0.3219360568383659</v>
      </c>
      <c r="L28" s="149">
        <v>90.28</v>
      </c>
      <c r="M28" s="149">
        <v>0.21</v>
      </c>
      <c r="N28" s="149">
        <f t="shared" si="3"/>
        <v>0.23260965883916701</v>
      </c>
      <c r="O28" s="149">
        <v>91.89</v>
      </c>
      <c r="P28" s="149">
        <v>1.61</v>
      </c>
      <c r="Q28" s="149">
        <f t="shared" si="4"/>
        <v>1.7520948960713898</v>
      </c>
    </row>
    <row r="29" spans="1:17" s="102" customFormat="1" x14ac:dyDescent="0.25">
      <c r="A29" s="170">
        <v>22</v>
      </c>
      <c r="B29" s="173" t="s">
        <v>163</v>
      </c>
      <c r="C29" s="277" t="s">
        <v>89</v>
      </c>
      <c r="D29" s="278"/>
      <c r="E29" s="278"/>
      <c r="F29" s="278"/>
      <c r="G29" s="278"/>
      <c r="H29" s="280"/>
      <c r="I29" s="145">
        <v>0.06</v>
      </c>
      <c r="J29" s="145">
        <v>0.01</v>
      </c>
      <c r="K29" s="145">
        <f t="shared" si="2"/>
        <v>16.666666666666668</v>
      </c>
      <c r="L29" s="145">
        <v>18.399999999999999</v>
      </c>
      <c r="M29" s="145">
        <v>-0.01</v>
      </c>
      <c r="N29" s="145">
        <f t="shared" si="3"/>
        <v>-5.434782608695652E-2</v>
      </c>
      <c r="O29" s="145">
        <v>75.069999999999993</v>
      </c>
      <c r="P29" s="145">
        <v>3.67</v>
      </c>
      <c r="Q29" s="145">
        <f t="shared" si="4"/>
        <v>4.8887704808845083</v>
      </c>
    </row>
    <row r="30" spans="1:17" x14ac:dyDescent="0.25">
      <c r="A30" s="169">
        <v>23</v>
      </c>
      <c r="B30" s="50" t="s">
        <v>123</v>
      </c>
      <c r="C30" s="148">
        <v>166.81</v>
      </c>
      <c r="D30" s="148">
        <v>-2.11</v>
      </c>
      <c r="E30" s="148">
        <f t="shared" si="0"/>
        <v>-1.2649121755290449</v>
      </c>
      <c r="F30" s="148">
        <v>149.62</v>
      </c>
      <c r="G30" s="148">
        <v>-17.18</v>
      </c>
      <c r="H30" s="148">
        <f t="shared" ref="H30:H40" si="5">(G30/F30)*100</f>
        <v>-11.482422136078064</v>
      </c>
      <c r="I30" s="149">
        <v>128.24</v>
      </c>
      <c r="J30" s="149">
        <v>-21.38</v>
      </c>
      <c r="K30" s="149">
        <f t="shared" si="2"/>
        <v>-16.671865252651276</v>
      </c>
      <c r="L30" s="149">
        <v>169.41</v>
      </c>
      <c r="M30" s="149">
        <v>-24.62</v>
      </c>
      <c r="N30" s="149">
        <f t="shared" si="3"/>
        <v>-14.532790272120891</v>
      </c>
      <c r="O30" s="149">
        <v>152.07</v>
      </c>
      <c r="P30" s="149">
        <v>-17.170000000000002</v>
      </c>
      <c r="Q30" s="149">
        <f t="shared" si="4"/>
        <v>-11.290852896692314</v>
      </c>
    </row>
    <row r="31" spans="1:17" s="102" customFormat="1" x14ac:dyDescent="0.25">
      <c r="A31" s="170">
        <v>24</v>
      </c>
      <c r="B31" s="59" t="s">
        <v>135</v>
      </c>
      <c r="C31" s="144">
        <v>118.64</v>
      </c>
      <c r="D31" s="144">
        <v>-30.61</v>
      </c>
      <c r="E31" s="144">
        <f t="shared" si="0"/>
        <v>-25.800741739716788</v>
      </c>
      <c r="F31" s="144">
        <v>87.81</v>
      </c>
      <c r="G31" s="144">
        <v>-30.83</v>
      </c>
      <c r="H31" s="144">
        <f t="shared" si="5"/>
        <v>-35.10989636715636</v>
      </c>
      <c r="I31" s="145">
        <v>73.75</v>
      </c>
      <c r="J31" s="145">
        <v>-14.06</v>
      </c>
      <c r="K31" s="145">
        <f t="shared" si="2"/>
        <v>-19.064406779661017</v>
      </c>
      <c r="L31" s="145">
        <v>61.7</v>
      </c>
      <c r="M31" s="145">
        <v>-12.05</v>
      </c>
      <c r="N31" s="145">
        <f t="shared" si="3"/>
        <v>-19.52998379254457</v>
      </c>
      <c r="O31" s="145">
        <v>47.36</v>
      </c>
      <c r="P31" s="145">
        <v>-14.34</v>
      </c>
      <c r="Q31" s="145">
        <f t="shared" si="4"/>
        <v>-30.278716216216218</v>
      </c>
    </row>
    <row r="32" spans="1:17" x14ac:dyDescent="0.25">
      <c r="A32" s="169">
        <v>25</v>
      </c>
      <c r="B32" s="50" t="s">
        <v>141</v>
      </c>
      <c r="C32" s="148">
        <v>106.82</v>
      </c>
      <c r="D32" s="148">
        <v>2.14</v>
      </c>
      <c r="E32" s="148">
        <f t="shared" si="0"/>
        <v>2.0033701554016106</v>
      </c>
      <c r="F32" s="148">
        <v>167.6</v>
      </c>
      <c r="G32" s="148">
        <v>0.77</v>
      </c>
      <c r="H32" s="148">
        <f t="shared" si="5"/>
        <v>0.45942720763723155</v>
      </c>
      <c r="I32" s="149">
        <v>168.25</v>
      </c>
      <c r="J32" s="149">
        <v>0.65</v>
      </c>
      <c r="K32" s="149">
        <f t="shared" si="2"/>
        <v>0.38632986627043092</v>
      </c>
      <c r="L32" s="149">
        <v>196.92</v>
      </c>
      <c r="M32" s="149">
        <v>5.87</v>
      </c>
      <c r="N32" s="149">
        <f t="shared" si="3"/>
        <v>2.9809059516554948</v>
      </c>
      <c r="O32" s="149">
        <v>223.29</v>
      </c>
      <c r="P32" s="149">
        <v>26.37</v>
      </c>
      <c r="Q32" s="149">
        <f t="shared" si="4"/>
        <v>11.809754131398631</v>
      </c>
    </row>
    <row r="33" spans="1:17" s="102" customFormat="1" x14ac:dyDescent="0.25">
      <c r="A33" s="170">
        <v>26</v>
      </c>
      <c r="B33" s="59" t="s">
        <v>137</v>
      </c>
      <c r="C33" s="144">
        <v>6.04</v>
      </c>
      <c r="D33" s="144">
        <v>0.05</v>
      </c>
      <c r="E33" s="144">
        <f t="shared" si="0"/>
        <v>0.82781456953642385</v>
      </c>
      <c r="F33" s="144">
        <v>136.06</v>
      </c>
      <c r="G33" s="144">
        <v>0.24</v>
      </c>
      <c r="H33" s="144">
        <f t="shared" si="5"/>
        <v>0.17639276789651623</v>
      </c>
      <c r="I33" s="145">
        <v>136.34</v>
      </c>
      <c r="J33" s="145">
        <v>0.28000000000000003</v>
      </c>
      <c r="K33" s="145">
        <f t="shared" si="2"/>
        <v>0.2053689306146399</v>
      </c>
      <c r="L33" s="145">
        <v>239.9</v>
      </c>
      <c r="M33" s="145">
        <v>60.16</v>
      </c>
      <c r="N33" s="145">
        <f t="shared" si="3"/>
        <v>25.077115464776988</v>
      </c>
      <c r="O33" s="145">
        <v>288.20999999999998</v>
      </c>
      <c r="P33" s="145">
        <v>21.74</v>
      </c>
      <c r="Q33" s="145">
        <f t="shared" si="4"/>
        <v>7.5431109260608586</v>
      </c>
    </row>
    <row r="34" spans="1:17" x14ac:dyDescent="0.25">
      <c r="A34" s="169">
        <v>27</v>
      </c>
      <c r="B34" s="50" t="s">
        <v>144</v>
      </c>
      <c r="C34" s="148">
        <v>142.38</v>
      </c>
      <c r="D34" s="148">
        <v>14.04</v>
      </c>
      <c r="E34" s="148">
        <f t="shared" si="0"/>
        <v>9.8609355246523389</v>
      </c>
      <c r="F34" s="148">
        <v>153.88999999999999</v>
      </c>
      <c r="G34" s="148">
        <v>11.51</v>
      </c>
      <c r="H34" s="148">
        <f t="shared" si="5"/>
        <v>7.4793683800116977</v>
      </c>
      <c r="I34" s="149">
        <v>159.63999999999999</v>
      </c>
      <c r="J34" s="149">
        <v>5.75</v>
      </c>
      <c r="K34" s="149">
        <f t="shared" si="2"/>
        <v>3.6018541718867452</v>
      </c>
      <c r="L34" s="149">
        <v>164.94</v>
      </c>
      <c r="M34" s="149">
        <v>5.3</v>
      </c>
      <c r="N34" s="149">
        <f t="shared" si="3"/>
        <v>3.2132896810961564</v>
      </c>
      <c r="O34" s="149">
        <v>170.26</v>
      </c>
      <c r="P34" s="149">
        <v>5.33</v>
      </c>
      <c r="Q34" s="149">
        <f t="shared" si="4"/>
        <v>3.1305062845060494</v>
      </c>
    </row>
    <row r="35" spans="1:17" s="102" customFormat="1" x14ac:dyDescent="0.25">
      <c r="A35" s="170">
        <v>28</v>
      </c>
      <c r="B35" s="59" t="s">
        <v>126</v>
      </c>
      <c r="C35" s="277" t="s">
        <v>83</v>
      </c>
      <c r="D35" s="278"/>
      <c r="E35" s="278"/>
      <c r="F35" s="278"/>
      <c r="G35" s="278"/>
      <c r="H35" s="278"/>
      <c r="I35" s="278"/>
      <c r="J35" s="278"/>
      <c r="K35" s="280"/>
      <c r="L35" s="145">
        <v>0.05</v>
      </c>
      <c r="M35" s="145">
        <v>0</v>
      </c>
      <c r="N35" s="145">
        <f t="shared" si="3"/>
        <v>0</v>
      </c>
      <c r="O35" s="145">
        <v>0.93</v>
      </c>
      <c r="P35" s="145">
        <v>0</v>
      </c>
      <c r="Q35" s="145">
        <f t="shared" si="4"/>
        <v>0</v>
      </c>
    </row>
    <row r="36" spans="1:17" x14ac:dyDescent="0.25">
      <c r="A36" s="169">
        <v>29</v>
      </c>
      <c r="B36" s="50" t="s">
        <v>125</v>
      </c>
      <c r="C36" s="275" t="s">
        <v>81</v>
      </c>
      <c r="D36" s="276"/>
      <c r="E36" s="276"/>
      <c r="F36" s="276"/>
      <c r="G36" s="276"/>
      <c r="H36" s="276"/>
      <c r="I36" s="276"/>
      <c r="J36" s="276"/>
      <c r="K36" s="276"/>
      <c r="L36" s="167"/>
      <c r="M36" s="167"/>
      <c r="N36" s="168"/>
      <c r="O36" s="149">
        <v>82.99</v>
      </c>
      <c r="P36" s="149">
        <v>0.77</v>
      </c>
      <c r="Q36" s="149">
        <f t="shared" si="4"/>
        <v>0.92782262923243775</v>
      </c>
    </row>
    <row r="37" spans="1:17" s="102" customFormat="1" x14ac:dyDescent="0.25">
      <c r="A37" s="170">
        <v>30</v>
      </c>
      <c r="B37" s="59" t="s">
        <v>142</v>
      </c>
      <c r="C37" s="277" t="s">
        <v>83</v>
      </c>
      <c r="D37" s="278"/>
      <c r="E37" s="278"/>
      <c r="F37" s="278"/>
      <c r="G37" s="278"/>
      <c r="H37" s="278"/>
      <c r="I37" s="278"/>
      <c r="J37" s="278"/>
      <c r="K37" s="280"/>
      <c r="L37" s="145">
        <v>0.05</v>
      </c>
      <c r="M37" s="145">
        <v>0</v>
      </c>
      <c r="N37" s="145">
        <f t="shared" si="3"/>
        <v>0</v>
      </c>
      <c r="O37" s="145">
        <v>51.8</v>
      </c>
      <c r="P37" s="145">
        <v>0.31</v>
      </c>
      <c r="Q37" s="145">
        <f t="shared" si="4"/>
        <v>0.59845559845559848</v>
      </c>
    </row>
    <row r="38" spans="1:17" x14ac:dyDescent="0.25">
      <c r="A38" s="169">
        <v>31</v>
      </c>
      <c r="B38" s="50" t="s">
        <v>127</v>
      </c>
      <c r="C38" s="275" t="s">
        <v>83</v>
      </c>
      <c r="D38" s="276"/>
      <c r="E38" s="276"/>
      <c r="F38" s="276"/>
      <c r="G38" s="276"/>
      <c r="H38" s="276"/>
      <c r="I38" s="276"/>
      <c r="J38" s="276"/>
      <c r="K38" s="281"/>
      <c r="L38" s="149">
        <v>0</v>
      </c>
      <c r="M38" s="149">
        <v>0</v>
      </c>
      <c r="N38" s="149">
        <v>0</v>
      </c>
      <c r="O38" s="149">
        <v>6.77</v>
      </c>
      <c r="P38" s="149">
        <v>-1.2E-2</v>
      </c>
      <c r="Q38" s="149">
        <f t="shared" si="4"/>
        <v>-0.1772525849335303</v>
      </c>
    </row>
    <row r="39" spans="1:17" s="102" customFormat="1" x14ac:dyDescent="0.25">
      <c r="A39" s="170">
        <v>32</v>
      </c>
      <c r="B39" s="59" t="s">
        <v>128</v>
      </c>
      <c r="C39" s="277" t="s">
        <v>81</v>
      </c>
      <c r="D39" s="278"/>
      <c r="E39" s="278"/>
      <c r="F39" s="278"/>
      <c r="G39" s="278"/>
      <c r="H39" s="278"/>
      <c r="I39" s="278"/>
      <c r="J39" s="278"/>
      <c r="K39" s="278"/>
      <c r="L39" s="176"/>
      <c r="M39" s="176"/>
      <c r="N39" s="177"/>
      <c r="O39" s="145">
        <v>54.71</v>
      </c>
      <c r="P39" s="145">
        <v>-0.28999999999999998</v>
      </c>
      <c r="Q39" s="145">
        <f t="shared" si="4"/>
        <v>-0.53006762931822338</v>
      </c>
    </row>
    <row r="40" spans="1:17" x14ac:dyDescent="0.25">
      <c r="A40" s="169">
        <v>33</v>
      </c>
      <c r="B40" s="50" t="s">
        <v>90</v>
      </c>
      <c r="C40" s="148">
        <v>0.08</v>
      </c>
      <c r="D40" s="148">
        <v>0.01</v>
      </c>
      <c r="E40" s="148">
        <f t="shared" si="0"/>
        <v>12.5</v>
      </c>
      <c r="F40" s="148">
        <v>0.13</v>
      </c>
      <c r="G40" s="148">
        <v>0.01</v>
      </c>
      <c r="H40" s="148">
        <f t="shared" si="5"/>
        <v>7.6923076923076925</v>
      </c>
      <c r="I40" s="149">
        <v>2.42</v>
      </c>
      <c r="J40" s="149">
        <v>-0.21</v>
      </c>
      <c r="K40" s="149">
        <f t="shared" ref="K40:K60" si="6">J40/I40*100</f>
        <v>-8.677685950413224</v>
      </c>
      <c r="L40" s="149">
        <v>46.71</v>
      </c>
      <c r="M40" s="149">
        <v>1.91</v>
      </c>
      <c r="N40" s="149">
        <f t="shared" si="3"/>
        <v>4.0890601584243198</v>
      </c>
      <c r="O40" s="149">
        <v>50.01</v>
      </c>
      <c r="P40" s="149">
        <v>3.3</v>
      </c>
      <c r="Q40" s="149">
        <f t="shared" si="4"/>
        <v>6.5986802639472115</v>
      </c>
    </row>
    <row r="41" spans="1:17" s="102" customFormat="1" x14ac:dyDescent="0.25">
      <c r="A41" s="170">
        <v>34</v>
      </c>
      <c r="B41" s="59" t="s">
        <v>19</v>
      </c>
      <c r="C41" s="144">
        <v>15.34</v>
      </c>
      <c r="D41" s="144">
        <v>1.8</v>
      </c>
      <c r="E41" s="144">
        <f t="shared" si="0"/>
        <v>11.734028683181226</v>
      </c>
      <c r="F41" s="144">
        <v>18.04</v>
      </c>
      <c r="G41" s="144">
        <v>2.7</v>
      </c>
      <c r="H41" s="144">
        <v>14.97</v>
      </c>
      <c r="I41" s="145">
        <v>20.09</v>
      </c>
      <c r="J41" s="145">
        <v>2.0499999999999998</v>
      </c>
      <c r="K41" s="145">
        <f t="shared" si="6"/>
        <v>10.204081632653059</v>
      </c>
      <c r="L41" s="145">
        <v>21.39</v>
      </c>
      <c r="M41" s="145">
        <v>1.3</v>
      </c>
      <c r="N41" s="145">
        <f t="shared" si="3"/>
        <v>6.0776063581112671</v>
      </c>
      <c r="O41" s="145">
        <v>22.4</v>
      </c>
      <c r="P41" s="145">
        <v>1.01</v>
      </c>
      <c r="Q41" s="145">
        <f t="shared" si="4"/>
        <v>4.5089285714285721</v>
      </c>
    </row>
    <row r="42" spans="1:17" x14ac:dyDescent="0.25">
      <c r="A42" s="169">
        <v>35</v>
      </c>
      <c r="B42" s="50" t="s">
        <v>202</v>
      </c>
      <c r="C42" s="148">
        <v>146.22999999999999</v>
      </c>
      <c r="D42" s="148">
        <v>41.34</v>
      </c>
      <c r="E42" s="148">
        <f t="shared" si="0"/>
        <v>28.270532722423585</v>
      </c>
      <c r="F42" s="148">
        <v>166.28</v>
      </c>
      <c r="G42" s="148">
        <v>35.020000000000003</v>
      </c>
      <c r="H42" s="148">
        <f>(G42/F42)*100</f>
        <v>21.060861197979314</v>
      </c>
      <c r="I42" s="149">
        <v>179.91</v>
      </c>
      <c r="J42" s="149">
        <v>24.13</v>
      </c>
      <c r="K42" s="149">
        <f t="shared" si="6"/>
        <v>13.412261686398756</v>
      </c>
      <c r="L42" s="149">
        <v>216.24</v>
      </c>
      <c r="M42" s="149">
        <v>45.32</v>
      </c>
      <c r="N42" s="149">
        <f t="shared" si="3"/>
        <v>20.958194598594154</v>
      </c>
      <c r="O42" s="149">
        <v>235.37</v>
      </c>
      <c r="P42" s="149">
        <v>59.04</v>
      </c>
      <c r="Q42" s="149">
        <f t="shared" si="4"/>
        <v>25.083910438883461</v>
      </c>
    </row>
    <row r="43" spans="1:17" s="103" customFormat="1" x14ac:dyDescent="0.25">
      <c r="A43" s="282" t="s">
        <v>94</v>
      </c>
      <c r="B43" s="283"/>
      <c r="C43" s="141">
        <f>SUM(C25:C42)</f>
        <v>1001.4</v>
      </c>
      <c r="D43" s="141">
        <f>SUM(D25:D42)</f>
        <v>1.757799999999996</v>
      </c>
      <c r="E43" s="141">
        <f t="shared" si="0"/>
        <v>0.17553425204713363</v>
      </c>
      <c r="F43" s="141">
        <f t="shared" ref="F43:G43" si="7">SUM(F25:F42)</f>
        <v>1218.82</v>
      </c>
      <c r="G43" s="141">
        <f t="shared" si="7"/>
        <v>10.540000000000006</v>
      </c>
      <c r="H43" s="141">
        <f>(G43/F43)*100</f>
        <v>0.86477084393101578</v>
      </c>
      <c r="I43" s="141">
        <f t="shared" ref="I43" si="8">SUM(I25:I42)</f>
        <v>1190.9000000000001</v>
      </c>
      <c r="J43" s="141">
        <f t="shared" ref="J43" si="9">SUM(J25:J42)</f>
        <v>-19.970000000000002</v>
      </c>
      <c r="K43" s="172">
        <f t="shared" si="6"/>
        <v>-1.6768830296414479</v>
      </c>
      <c r="L43" s="141">
        <f t="shared" ref="L43:M43" si="10">SUM(L25:L42)</f>
        <v>1444.21</v>
      </c>
      <c r="M43" s="141">
        <f t="shared" si="10"/>
        <v>64.08</v>
      </c>
      <c r="N43" s="172">
        <f t="shared" si="3"/>
        <v>4.4370278560597143</v>
      </c>
      <c r="O43" s="141">
        <f t="shared" ref="O43:P43" si="11">SUM(O25:O42)</f>
        <v>1774.1599999999999</v>
      </c>
      <c r="P43" s="141">
        <f t="shared" si="11"/>
        <v>86.757999999999996</v>
      </c>
      <c r="Q43" s="141">
        <f ca="1">SUM(Q25:Q48)</f>
        <v>28.302999999999997</v>
      </c>
    </row>
    <row r="44" spans="1:17" s="2" customFormat="1" x14ac:dyDescent="0.25">
      <c r="A44" s="284" t="s">
        <v>48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6"/>
    </row>
    <row r="45" spans="1:17" s="102" customFormat="1" ht="25.5" x14ac:dyDescent="0.25">
      <c r="A45" s="170">
        <v>36</v>
      </c>
      <c r="B45" s="59" t="s">
        <v>63</v>
      </c>
      <c r="C45" s="144">
        <v>77.290000000000006</v>
      </c>
      <c r="D45" s="144">
        <v>10.06</v>
      </c>
      <c r="E45" s="144">
        <f t="shared" si="0"/>
        <v>13.015914089791695</v>
      </c>
      <c r="F45" s="144">
        <v>154.53</v>
      </c>
      <c r="G45" s="144">
        <v>3.07</v>
      </c>
      <c r="H45" s="144">
        <f t="shared" ref="H45:H60" si="12">(G45/F45)*100</f>
        <v>1.9866692551608101</v>
      </c>
      <c r="I45" s="145">
        <v>298.43</v>
      </c>
      <c r="J45" s="145">
        <v>5.0599999999999996</v>
      </c>
      <c r="K45" s="145">
        <f t="shared" si="6"/>
        <v>1.6955399926280867</v>
      </c>
      <c r="L45" s="145">
        <v>300.02</v>
      </c>
      <c r="M45" s="145">
        <v>1.34</v>
      </c>
      <c r="N45" s="145">
        <f t="shared" si="3"/>
        <v>0.44663689087394182</v>
      </c>
      <c r="O45" s="145">
        <v>301.54000000000002</v>
      </c>
      <c r="P45" s="144">
        <v>1.64</v>
      </c>
      <c r="Q45" s="145">
        <f t="shared" ref="Q45:Q60" si="13">P45/O45*100</f>
        <v>0.54387477614910129</v>
      </c>
    </row>
    <row r="46" spans="1:17" ht="25.5" x14ac:dyDescent="0.25">
      <c r="A46" s="169">
        <v>37</v>
      </c>
      <c r="B46" s="50" t="s">
        <v>64</v>
      </c>
      <c r="C46" s="148">
        <v>6.88</v>
      </c>
      <c r="D46" s="148">
        <v>-2.09</v>
      </c>
      <c r="E46" s="148">
        <f t="shared" si="0"/>
        <v>-30.377906976744185</v>
      </c>
      <c r="F46" s="148">
        <v>7.28</v>
      </c>
      <c r="G46" s="148">
        <v>0.41</v>
      </c>
      <c r="H46" s="148">
        <f t="shared" si="12"/>
        <v>5.6318681318681314</v>
      </c>
      <c r="I46" s="149">
        <v>7.48</v>
      </c>
      <c r="J46" s="149">
        <v>0.2</v>
      </c>
      <c r="K46" s="149">
        <f t="shared" si="6"/>
        <v>2.6737967914438503</v>
      </c>
      <c r="L46" s="149">
        <v>7.73</v>
      </c>
      <c r="M46" s="149">
        <v>0.24</v>
      </c>
      <c r="N46" s="149">
        <f t="shared" si="3"/>
        <v>3.1047865459249673</v>
      </c>
      <c r="O46" s="149">
        <v>7.94</v>
      </c>
      <c r="P46" s="149">
        <v>0.22</v>
      </c>
      <c r="Q46" s="149">
        <f t="shared" si="13"/>
        <v>2.770780856423174</v>
      </c>
    </row>
    <row r="47" spans="1:17" s="102" customFormat="1" ht="25.5" x14ac:dyDescent="0.25">
      <c r="A47" s="170">
        <v>38</v>
      </c>
      <c r="B47" s="59" t="s">
        <v>21</v>
      </c>
      <c r="C47" s="144">
        <v>42</v>
      </c>
      <c r="D47" s="144">
        <v>16.489999999999998</v>
      </c>
      <c r="E47" s="144">
        <f t="shared" si="0"/>
        <v>39.261904761904759</v>
      </c>
      <c r="F47" s="144">
        <v>57.54</v>
      </c>
      <c r="G47" s="144">
        <v>15.53</v>
      </c>
      <c r="H47" s="144">
        <f t="shared" si="12"/>
        <v>26.989920055613485</v>
      </c>
      <c r="I47" s="145">
        <v>60.02</v>
      </c>
      <c r="J47" s="145">
        <v>2.48</v>
      </c>
      <c r="K47" s="145">
        <f t="shared" si="6"/>
        <v>4.1319560146617791</v>
      </c>
      <c r="L47" s="145">
        <v>61.63</v>
      </c>
      <c r="M47" s="145">
        <v>1.62</v>
      </c>
      <c r="N47" s="145">
        <f t="shared" si="3"/>
        <v>2.6285899724160311</v>
      </c>
      <c r="O47" s="145">
        <v>61.95</v>
      </c>
      <c r="P47" s="145">
        <v>0.33</v>
      </c>
      <c r="Q47" s="145">
        <f t="shared" si="13"/>
        <v>0.53268765133171914</v>
      </c>
    </row>
    <row r="48" spans="1:17" ht="25.5" x14ac:dyDescent="0.25">
      <c r="A48" s="169">
        <v>39</v>
      </c>
      <c r="B48" s="50" t="s">
        <v>22</v>
      </c>
      <c r="C48" s="148">
        <v>3124.48</v>
      </c>
      <c r="D48" s="148">
        <v>46.1</v>
      </c>
      <c r="E48" s="148">
        <f t="shared" si="0"/>
        <v>1.4754455141335518</v>
      </c>
      <c r="F48" s="148">
        <v>7700.74</v>
      </c>
      <c r="G48" s="148">
        <v>55.92</v>
      </c>
      <c r="H48" s="148">
        <f t="shared" si="12"/>
        <v>0.72616397904616958</v>
      </c>
      <c r="I48" s="149">
        <v>10721.34</v>
      </c>
      <c r="J48" s="149">
        <v>22.43</v>
      </c>
      <c r="K48" s="149">
        <f t="shared" si="6"/>
        <v>0.20920892351142675</v>
      </c>
      <c r="L48" s="149">
        <v>13352</v>
      </c>
      <c r="M48" s="149">
        <v>83.93</v>
      </c>
      <c r="N48" s="149">
        <f t="shared" si="3"/>
        <v>0.62859496704613549</v>
      </c>
      <c r="O48" s="149">
        <v>14750.78</v>
      </c>
      <c r="P48" s="149">
        <v>53.79</v>
      </c>
      <c r="Q48" s="149">
        <f t="shared" si="13"/>
        <v>0.36465868245611416</v>
      </c>
    </row>
    <row r="49" spans="1:17" s="102" customFormat="1" ht="25.5" x14ac:dyDescent="0.25">
      <c r="A49" s="170">
        <v>40</v>
      </c>
      <c r="B49" s="59" t="s">
        <v>23</v>
      </c>
      <c r="C49" s="144">
        <v>29.82</v>
      </c>
      <c r="D49" s="144">
        <v>9.82</v>
      </c>
      <c r="E49" s="144">
        <f t="shared" si="0"/>
        <v>32.930918846411807</v>
      </c>
      <c r="F49" s="144">
        <v>92.86</v>
      </c>
      <c r="G49" s="144">
        <v>-0.38</v>
      </c>
      <c r="H49" s="144">
        <f t="shared" si="12"/>
        <v>-0.40921817790221837</v>
      </c>
      <c r="I49" s="145">
        <v>101.43</v>
      </c>
      <c r="J49" s="145">
        <v>1.28</v>
      </c>
      <c r="K49" s="145">
        <f t="shared" si="6"/>
        <v>1.2619540569851129</v>
      </c>
      <c r="L49" s="145">
        <v>514.13</v>
      </c>
      <c r="M49" s="145">
        <v>3.41</v>
      </c>
      <c r="N49" s="145">
        <f t="shared" si="3"/>
        <v>0.66325637484682864</v>
      </c>
      <c r="O49" s="145">
        <v>359.59</v>
      </c>
      <c r="P49" s="145">
        <v>25.9</v>
      </c>
      <c r="Q49" s="145">
        <f t="shared" si="13"/>
        <v>7.2026474596067747</v>
      </c>
    </row>
    <row r="50" spans="1:17" s="2" customFormat="1" x14ac:dyDescent="0.25">
      <c r="A50" s="272" t="s">
        <v>94</v>
      </c>
      <c r="B50" s="274"/>
      <c r="C50" s="155">
        <f>SUM(C45:C49)</f>
        <v>3280.4700000000003</v>
      </c>
      <c r="D50" s="155">
        <f>SUM(D45:D49)</f>
        <v>80.38</v>
      </c>
      <c r="E50" s="155">
        <f t="shared" si="0"/>
        <v>2.4502586519614562</v>
      </c>
      <c r="F50" s="155">
        <f t="shared" ref="F50:G50" si="14">SUM(F45:F49)</f>
        <v>8012.95</v>
      </c>
      <c r="G50" s="155">
        <f t="shared" si="14"/>
        <v>74.550000000000011</v>
      </c>
      <c r="H50" s="155">
        <f t="shared" si="12"/>
        <v>0.93036896523752188</v>
      </c>
      <c r="I50" s="155">
        <f t="shared" ref="I50:J50" si="15">SUM(I45:I49)</f>
        <v>11188.7</v>
      </c>
      <c r="J50" s="155">
        <f t="shared" si="15"/>
        <v>31.450000000000003</v>
      </c>
      <c r="K50" s="174">
        <f t="shared" si="6"/>
        <v>0.28108716830373504</v>
      </c>
      <c r="L50" s="155">
        <f t="shared" ref="L50:M50" si="16">SUM(L45:L49)</f>
        <v>14235.509999999998</v>
      </c>
      <c r="M50" s="155">
        <f t="shared" si="16"/>
        <v>90.54</v>
      </c>
      <c r="N50" s="174">
        <f t="shared" si="3"/>
        <v>0.63601514803473858</v>
      </c>
      <c r="O50" s="155">
        <f t="shared" ref="O50:P50" si="17">SUM(O45:O49)</f>
        <v>15481.800000000001</v>
      </c>
      <c r="P50" s="155">
        <f t="shared" si="17"/>
        <v>81.88</v>
      </c>
      <c r="Q50" s="174">
        <f t="shared" si="13"/>
        <v>0.52887907090906727</v>
      </c>
    </row>
    <row r="51" spans="1:17" s="102" customFormat="1" x14ac:dyDescent="0.25">
      <c r="A51" s="287" t="s">
        <v>51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9"/>
    </row>
    <row r="52" spans="1:17" ht="25.5" x14ac:dyDescent="0.25">
      <c r="A52" s="169">
        <v>41</v>
      </c>
      <c r="B52" s="50" t="s">
        <v>91</v>
      </c>
      <c r="C52" s="148">
        <v>714.44</v>
      </c>
      <c r="D52" s="148">
        <v>0.42</v>
      </c>
      <c r="E52" s="148">
        <f t="shared" si="0"/>
        <v>5.8787301942780347E-2</v>
      </c>
      <c r="F52" s="148">
        <v>1064.58</v>
      </c>
      <c r="G52" s="148">
        <v>0.49</v>
      </c>
      <c r="H52" s="148">
        <f t="shared" si="12"/>
        <v>4.6027541377820363E-2</v>
      </c>
      <c r="I52" s="149">
        <v>1227.43</v>
      </c>
      <c r="J52" s="149">
        <v>38.840000000000003</v>
      </c>
      <c r="K52" s="149">
        <f t="shared" si="6"/>
        <v>3.1643352370399938</v>
      </c>
      <c r="L52" s="149">
        <v>1358.27</v>
      </c>
      <c r="M52" s="149">
        <v>31.2</v>
      </c>
      <c r="N52" s="149">
        <f t="shared" si="3"/>
        <v>2.2970396165710794</v>
      </c>
      <c r="O52" s="149">
        <v>1390.87</v>
      </c>
      <c r="P52" s="149">
        <v>48.2</v>
      </c>
      <c r="Q52" s="149">
        <f t="shared" si="13"/>
        <v>3.4654568723173269</v>
      </c>
    </row>
    <row r="53" spans="1:17" s="102" customFormat="1" x14ac:dyDescent="0.25">
      <c r="A53" s="170">
        <v>42</v>
      </c>
      <c r="B53" s="59" t="s">
        <v>116</v>
      </c>
      <c r="C53" s="144">
        <v>197.52</v>
      </c>
      <c r="D53" s="144">
        <v>6.27</v>
      </c>
      <c r="E53" s="144">
        <f t="shared" si="0"/>
        <v>3.1743620899149452</v>
      </c>
      <c r="F53" s="144">
        <v>186.72</v>
      </c>
      <c r="G53" s="144">
        <v>-10.8</v>
      </c>
      <c r="H53" s="144">
        <f t="shared" si="12"/>
        <v>-5.7840616966580978</v>
      </c>
      <c r="I53" s="145">
        <v>185.15</v>
      </c>
      <c r="J53" s="145">
        <v>-1.57</v>
      </c>
      <c r="K53" s="145">
        <f t="shared" si="6"/>
        <v>-0.84796111261139606</v>
      </c>
      <c r="L53" s="145">
        <v>214.22</v>
      </c>
      <c r="M53" s="145">
        <v>29.07</v>
      </c>
      <c r="N53" s="145">
        <f t="shared" si="3"/>
        <v>13.570161516198301</v>
      </c>
      <c r="O53" s="145">
        <v>250.4</v>
      </c>
      <c r="P53" s="145">
        <v>39.28</v>
      </c>
      <c r="Q53" s="145">
        <f t="shared" si="13"/>
        <v>15.686900958466454</v>
      </c>
    </row>
    <row r="54" spans="1:17" x14ac:dyDescent="0.25">
      <c r="A54" s="169">
        <v>43</v>
      </c>
      <c r="B54" s="50" t="s">
        <v>132</v>
      </c>
      <c r="C54" s="148">
        <v>702.31</v>
      </c>
      <c r="D54" s="148">
        <v>72.92</v>
      </c>
      <c r="E54" s="148">
        <f t="shared" si="0"/>
        <v>10.382879355270466</v>
      </c>
      <c r="F54" s="148">
        <v>653.72</v>
      </c>
      <c r="G54" s="148">
        <v>-48.59</v>
      </c>
      <c r="H54" s="148">
        <f t="shared" si="12"/>
        <v>-7.4328458667319337</v>
      </c>
      <c r="I54" s="149">
        <v>546.9</v>
      </c>
      <c r="J54" s="149">
        <v>-106.82</v>
      </c>
      <c r="K54" s="149">
        <f t="shared" si="6"/>
        <v>-19.531907112817699</v>
      </c>
      <c r="L54" s="149">
        <v>431.08</v>
      </c>
      <c r="M54" s="149">
        <v>-115.82</v>
      </c>
      <c r="N54" s="149">
        <f t="shared" si="3"/>
        <v>-26.867402802264078</v>
      </c>
      <c r="O54" s="149">
        <v>460.61</v>
      </c>
      <c r="P54" s="149">
        <v>29.53</v>
      </c>
      <c r="Q54" s="149">
        <f t="shared" si="13"/>
        <v>6.4110635895877204</v>
      </c>
    </row>
    <row r="55" spans="1:17" s="102" customFormat="1" x14ac:dyDescent="0.25">
      <c r="A55" s="170">
        <v>44</v>
      </c>
      <c r="B55" s="59" t="s">
        <v>25</v>
      </c>
      <c r="C55" s="144">
        <v>1623.62</v>
      </c>
      <c r="D55" s="144">
        <v>157.93</v>
      </c>
      <c r="E55" s="144">
        <f t="shared" si="0"/>
        <v>9.7270297237038221</v>
      </c>
      <c r="F55" s="144">
        <v>1605.54</v>
      </c>
      <c r="G55" s="144">
        <v>30.21</v>
      </c>
      <c r="H55" s="144">
        <f t="shared" si="12"/>
        <v>1.8816099256324974</v>
      </c>
      <c r="I55" s="145">
        <v>1793.32</v>
      </c>
      <c r="J55" s="145">
        <v>225.06</v>
      </c>
      <c r="K55" s="145">
        <f>J55/I55*100</f>
        <v>12.549907434256017</v>
      </c>
      <c r="L55" s="145">
        <v>1925.5</v>
      </c>
      <c r="M55" s="145">
        <v>125.64</v>
      </c>
      <c r="N55" s="145">
        <f t="shared" si="3"/>
        <v>6.5250584263827571</v>
      </c>
      <c r="O55" s="145">
        <v>2124.13</v>
      </c>
      <c r="P55" s="145">
        <v>73.8</v>
      </c>
      <c r="Q55" s="145">
        <f t="shared" si="13"/>
        <v>3.4743636218122238</v>
      </c>
    </row>
    <row r="56" spans="1:17" x14ac:dyDescent="0.25">
      <c r="A56" s="169">
        <v>45</v>
      </c>
      <c r="B56" s="50" t="s">
        <v>54</v>
      </c>
      <c r="C56" s="148">
        <v>681.81</v>
      </c>
      <c r="D56" s="148">
        <v>2.25</v>
      </c>
      <c r="E56" s="148">
        <f t="shared" si="0"/>
        <v>0.33000396004752058</v>
      </c>
      <c r="F56" s="148">
        <v>724.69</v>
      </c>
      <c r="G56" s="148">
        <v>0.28000000000000003</v>
      </c>
      <c r="H56" s="148">
        <f t="shared" si="12"/>
        <v>3.8637210393409602E-2</v>
      </c>
      <c r="I56" s="171">
        <v>861.41</v>
      </c>
      <c r="J56" s="149">
        <v>0.7</v>
      </c>
      <c r="K56" s="149">
        <f t="shared" si="6"/>
        <v>8.1262116762052916E-2</v>
      </c>
      <c r="L56" s="149">
        <v>867.07</v>
      </c>
      <c r="M56" s="149">
        <v>0.53</v>
      </c>
      <c r="N56" s="149">
        <f t="shared" si="3"/>
        <v>6.1125399333387148E-2</v>
      </c>
      <c r="O56" s="149">
        <v>920.7</v>
      </c>
      <c r="P56" s="149">
        <v>0.44</v>
      </c>
      <c r="Q56" s="149">
        <f t="shared" si="13"/>
        <v>4.7789725209080043E-2</v>
      </c>
    </row>
    <row r="57" spans="1:17" s="102" customFormat="1" x14ac:dyDescent="0.25">
      <c r="A57" s="170">
        <v>46</v>
      </c>
      <c r="B57" s="59" t="s">
        <v>27</v>
      </c>
      <c r="C57" s="144">
        <v>571.17999999999995</v>
      </c>
      <c r="D57" s="144">
        <v>85.61</v>
      </c>
      <c r="E57" s="144">
        <f t="shared" si="0"/>
        <v>14.988269897405374</v>
      </c>
      <c r="F57" s="144">
        <f>196+445.52</f>
        <v>641.52</v>
      </c>
      <c r="G57" s="144">
        <v>82.27</v>
      </c>
      <c r="H57" s="144">
        <f t="shared" si="12"/>
        <v>12.824229953859584</v>
      </c>
      <c r="I57" s="145">
        <v>657.77</v>
      </c>
      <c r="J57" s="145">
        <v>26.02</v>
      </c>
      <c r="K57" s="145">
        <f t="shared" si="6"/>
        <v>3.9557900177873724</v>
      </c>
      <c r="L57" s="145">
        <v>668.31</v>
      </c>
      <c r="M57" s="145">
        <v>10.55</v>
      </c>
      <c r="N57" s="145">
        <f t="shared" si="3"/>
        <v>1.5786087294818274</v>
      </c>
      <c r="O57" s="145">
        <v>723.4</v>
      </c>
      <c r="P57" s="145">
        <v>55.09</v>
      </c>
      <c r="Q57" s="145">
        <f t="shared" si="13"/>
        <v>7.6154271495714685</v>
      </c>
    </row>
    <row r="58" spans="1:17" ht="25.5" x14ac:dyDescent="0.25">
      <c r="A58" s="169">
        <v>47</v>
      </c>
      <c r="B58" s="50" t="s">
        <v>28</v>
      </c>
      <c r="C58" s="148">
        <v>358.88</v>
      </c>
      <c r="D58" s="148">
        <v>25.58</v>
      </c>
      <c r="E58" s="148">
        <f t="shared" si="0"/>
        <v>7.1277307177886762</v>
      </c>
      <c r="F58" s="148">
        <v>379.64</v>
      </c>
      <c r="G58" s="148">
        <v>21.48</v>
      </c>
      <c r="H58" s="148">
        <f t="shared" si="12"/>
        <v>5.6579917816879153</v>
      </c>
      <c r="I58" s="149">
        <v>347.6</v>
      </c>
      <c r="J58" s="149">
        <v>-32.04</v>
      </c>
      <c r="K58" s="149">
        <f t="shared" si="6"/>
        <v>-9.2174913693901033</v>
      </c>
      <c r="L58" s="149">
        <v>307.60000000000002</v>
      </c>
      <c r="M58" s="149">
        <v>-39.99</v>
      </c>
      <c r="N58" s="149">
        <f t="shared" si="3"/>
        <v>-13.000650195058515</v>
      </c>
      <c r="O58" s="149">
        <v>276.77</v>
      </c>
      <c r="P58" s="149">
        <v>-30.83</v>
      </c>
      <c r="Q58" s="149">
        <f t="shared" si="13"/>
        <v>-11.13921306499982</v>
      </c>
    </row>
    <row r="59" spans="1:17" s="103" customFormat="1" x14ac:dyDescent="0.25">
      <c r="A59" s="279" t="s">
        <v>94</v>
      </c>
      <c r="B59" s="279"/>
      <c r="C59" s="141">
        <f>SUM(C52:C58)</f>
        <v>4849.76</v>
      </c>
      <c r="D59" s="141">
        <f t="shared" ref="D59" si="18">SUM(D52:D58)</f>
        <v>350.98</v>
      </c>
      <c r="E59" s="141">
        <f t="shared" si="0"/>
        <v>7.2370591534426447</v>
      </c>
      <c r="F59" s="141">
        <f t="shared" ref="F59:G59" si="19">SUM(F52:F58)</f>
        <v>5256.4100000000008</v>
      </c>
      <c r="G59" s="141">
        <f t="shared" si="19"/>
        <v>75.339999999999989</v>
      </c>
      <c r="H59" s="141">
        <f t="shared" si="12"/>
        <v>1.4332976308925669</v>
      </c>
      <c r="I59" s="141">
        <f t="shared" ref="I59:J59" si="20">SUM(I52:I58)</f>
        <v>5619.58</v>
      </c>
      <c r="J59" s="141">
        <f t="shared" si="20"/>
        <v>150.19000000000003</v>
      </c>
      <c r="K59" s="172">
        <f t="shared" si="6"/>
        <v>2.6726196619676208</v>
      </c>
      <c r="L59" s="141">
        <f t="shared" ref="L59:M59" si="21">SUM(L52:L58)</f>
        <v>5772.0499999999993</v>
      </c>
      <c r="M59" s="141">
        <f t="shared" si="21"/>
        <v>41.18</v>
      </c>
      <c r="N59" s="172">
        <f t="shared" si="3"/>
        <v>0.71343803328107014</v>
      </c>
      <c r="O59" s="141">
        <f t="shared" ref="O59:P59" si="22">SUM(O52:O58)</f>
        <v>6146.8799999999992</v>
      </c>
      <c r="P59" s="141">
        <f t="shared" si="22"/>
        <v>215.51</v>
      </c>
      <c r="Q59" s="172">
        <f t="shared" si="13"/>
        <v>3.5060062991306165</v>
      </c>
    </row>
    <row r="60" spans="1:17" x14ac:dyDescent="0.25">
      <c r="A60" s="50"/>
      <c r="B60" s="175" t="s">
        <v>29</v>
      </c>
      <c r="C60" s="155">
        <f>C23+C43+C50+C59</f>
        <v>66009</v>
      </c>
      <c r="D60" s="155">
        <f t="shared" ref="D60" si="23">D23+D43+D50+D59</f>
        <v>6146.2878000000001</v>
      </c>
      <c r="E60" s="155">
        <f t="shared" si="0"/>
        <v>9.3112875516974967</v>
      </c>
      <c r="F60" s="155">
        <f t="shared" ref="F60:G60" si="24">F23+F43+F50+F59</f>
        <v>87516.83</v>
      </c>
      <c r="G60" s="155">
        <f t="shared" si="24"/>
        <v>6482.2800000000007</v>
      </c>
      <c r="H60" s="155">
        <f t="shared" si="12"/>
        <v>7.406895336588402</v>
      </c>
      <c r="I60" s="155">
        <f t="shared" ref="I60:J60" si="25">I23+I43+I50+I59</f>
        <v>96864.859999999986</v>
      </c>
      <c r="J60" s="155">
        <f t="shared" si="25"/>
        <v>7068.2710000000006</v>
      </c>
      <c r="K60" s="174">
        <f t="shared" si="6"/>
        <v>7.2970435305434833</v>
      </c>
      <c r="L60" s="155">
        <f t="shared" ref="L60:M60" si="26">L23+L43+L50+L59</f>
        <v>110862.45</v>
      </c>
      <c r="M60" s="155">
        <f t="shared" si="26"/>
        <v>10232.779999999999</v>
      </c>
      <c r="N60" s="174">
        <f t="shared" si="3"/>
        <v>9.2301586335138719</v>
      </c>
      <c r="O60" s="155">
        <f t="shared" ref="O60:P60" si="27">O23+O43+O50+O59</f>
        <v>120443.66</v>
      </c>
      <c r="P60" s="155">
        <f t="shared" si="27"/>
        <v>12056.597999999998</v>
      </c>
      <c r="Q60" s="174">
        <f t="shared" si="13"/>
        <v>10.010155785700963</v>
      </c>
    </row>
    <row r="61" spans="1:17" s="102" customFormat="1" x14ac:dyDescent="0.25">
      <c r="A61" s="166" t="s">
        <v>171</v>
      </c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</row>
  </sheetData>
  <mergeCells count="26">
    <mergeCell ref="A23:B23"/>
    <mergeCell ref="A1:Q1"/>
    <mergeCell ref="A2:Q2"/>
    <mergeCell ref="A3:A4"/>
    <mergeCell ref="B3:B4"/>
    <mergeCell ref="C3:E3"/>
    <mergeCell ref="F3:H3"/>
    <mergeCell ref="I3:K3"/>
    <mergeCell ref="L3:N3"/>
    <mergeCell ref="O3:Q3"/>
    <mergeCell ref="A5:Q5"/>
    <mergeCell ref="O15:Q15"/>
    <mergeCell ref="O17:Q17"/>
    <mergeCell ref="C20:Q20"/>
    <mergeCell ref="A24:Q24"/>
    <mergeCell ref="C36:K36"/>
    <mergeCell ref="C39:K39"/>
    <mergeCell ref="A59:B59"/>
    <mergeCell ref="C29:H29"/>
    <mergeCell ref="C35:K35"/>
    <mergeCell ref="C37:K37"/>
    <mergeCell ref="C38:K38"/>
    <mergeCell ref="A43:B43"/>
    <mergeCell ref="A44:Q44"/>
    <mergeCell ref="A50:B50"/>
    <mergeCell ref="A51:Q51"/>
  </mergeCells>
  <pageMargins left="0.7" right="0.7" top="0.75" bottom="0.75" header="0.3" footer="0.3"/>
  <pageSetup scale="71" fitToHeight="0" orientation="landscape" r:id="rId1"/>
  <headerFooter>
    <oddHeader xml:space="preserve">&amp;R&amp;"Times New Roman,Bold Italic"Annexure </oddHeader>
    <oddFooter>&amp;L&amp;"Times New Roman,Bold Italic"Report No.   of 2024&amp;R&amp;"Times New Roman,Bold Italic"Page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view="pageLayout" zoomScaleNormal="100" zoomScaleSheetLayoutView="106" workbookViewId="0">
      <selection activeCell="I15" sqref="I15"/>
    </sheetView>
  </sheetViews>
  <sheetFormatPr defaultColWidth="15.28515625" defaultRowHeight="15" x14ac:dyDescent="0.25"/>
  <cols>
    <col min="1" max="1" width="6.7109375" style="3" bestFit="1" customWidth="1"/>
    <col min="2" max="2" width="30.28515625" style="3" bestFit="1" customWidth="1"/>
    <col min="3" max="3" width="12" style="3" bestFit="1" customWidth="1"/>
    <col min="4" max="4" width="11.85546875" style="3" bestFit="1" customWidth="1"/>
    <col min="5" max="5" width="12.42578125" style="3" bestFit="1" customWidth="1"/>
    <col min="6" max="6" width="12" style="3" bestFit="1" customWidth="1"/>
    <col min="7" max="7" width="11.85546875" style="3" bestFit="1" customWidth="1"/>
    <col min="8" max="8" width="12.42578125" style="3" bestFit="1" customWidth="1"/>
    <col min="9" max="9" width="12" style="3" bestFit="1" customWidth="1"/>
    <col min="10" max="10" width="11.85546875" style="3" bestFit="1" customWidth="1"/>
    <col min="11" max="11" width="12.42578125" style="3" bestFit="1" customWidth="1"/>
    <col min="12" max="12" width="12" style="3" bestFit="1" customWidth="1"/>
    <col min="13" max="13" width="11.85546875" style="3" bestFit="1" customWidth="1"/>
    <col min="14" max="14" width="12.42578125" style="3" bestFit="1" customWidth="1"/>
    <col min="15" max="15" width="12" style="3" bestFit="1" customWidth="1"/>
    <col min="16" max="16" width="11.85546875" style="3" bestFit="1" customWidth="1"/>
    <col min="17" max="17" width="12.42578125" style="3" bestFit="1" customWidth="1"/>
    <col min="18" max="16384" width="15.28515625" style="3"/>
  </cols>
  <sheetData>
    <row r="1" spans="1:17" ht="15.75" x14ac:dyDescent="0.25">
      <c r="A1" s="304" t="s">
        <v>196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</row>
    <row r="2" spans="1:17" s="53" customFormat="1" ht="15.75" x14ac:dyDescent="0.25">
      <c r="A2" s="305" t="s">
        <v>95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</row>
    <row r="3" spans="1:17" x14ac:dyDescent="0.25">
      <c r="A3" s="310" t="s">
        <v>36</v>
      </c>
      <c r="B3" s="309" t="s">
        <v>96</v>
      </c>
      <c r="C3" s="306" t="s">
        <v>109</v>
      </c>
      <c r="D3" s="307"/>
      <c r="E3" s="308"/>
      <c r="F3" s="306" t="s">
        <v>108</v>
      </c>
      <c r="G3" s="307"/>
      <c r="H3" s="308"/>
      <c r="I3" s="306" t="s">
        <v>97</v>
      </c>
      <c r="J3" s="307"/>
      <c r="K3" s="308"/>
      <c r="L3" s="306" t="s">
        <v>98</v>
      </c>
      <c r="M3" s="307"/>
      <c r="N3" s="308"/>
      <c r="O3" s="309" t="s">
        <v>99</v>
      </c>
      <c r="P3" s="309"/>
      <c r="Q3" s="309"/>
    </row>
    <row r="4" spans="1:17" ht="25.5" x14ac:dyDescent="0.25">
      <c r="A4" s="310"/>
      <c r="B4" s="309"/>
      <c r="C4" s="104" t="s">
        <v>102</v>
      </c>
      <c r="D4" s="104" t="s">
        <v>100</v>
      </c>
      <c r="E4" s="104" t="s">
        <v>101</v>
      </c>
      <c r="F4" s="104" t="s">
        <v>102</v>
      </c>
      <c r="G4" s="104" t="s">
        <v>100</v>
      </c>
      <c r="H4" s="104" t="s">
        <v>101</v>
      </c>
      <c r="I4" s="104" t="s">
        <v>102</v>
      </c>
      <c r="J4" s="104" t="s">
        <v>100</v>
      </c>
      <c r="K4" s="104" t="s">
        <v>101</v>
      </c>
      <c r="L4" s="104" t="s">
        <v>102</v>
      </c>
      <c r="M4" s="104" t="s">
        <v>100</v>
      </c>
      <c r="N4" s="104" t="s">
        <v>101</v>
      </c>
      <c r="O4" s="104" t="s">
        <v>102</v>
      </c>
      <c r="P4" s="104" t="s">
        <v>100</v>
      </c>
      <c r="Q4" s="105" t="s">
        <v>101</v>
      </c>
    </row>
    <row r="5" spans="1:17" x14ac:dyDescent="0.25">
      <c r="A5" s="310"/>
      <c r="B5" s="309"/>
      <c r="C5" s="104" t="s">
        <v>110</v>
      </c>
      <c r="D5" s="104" t="s">
        <v>103</v>
      </c>
      <c r="E5" s="104" t="s">
        <v>104</v>
      </c>
      <c r="F5" s="104" t="s">
        <v>110</v>
      </c>
      <c r="G5" s="104" t="s">
        <v>103</v>
      </c>
      <c r="H5" s="104" t="s">
        <v>104</v>
      </c>
      <c r="I5" s="104" t="s">
        <v>110</v>
      </c>
      <c r="J5" s="104" t="s">
        <v>103</v>
      </c>
      <c r="K5" s="104" t="s">
        <v>104</v>
      </c>
      <c r="L5" s="104" t="s">
        <v>110</v>
      </c>
      <c r="M5" s="104" t="s">
        <v>103</v>
      </c>
      <c r="N5" s="104" t="s">
        <v>105</v>
      </c>
      <c r="O5" s="106" t="s">
        <v>106</v>
      </c>
      <c r="P5" s="106" t="s">
        <v>103</v>
      </c>
      <c r="Q5" s="107" t="s">
        <v>107</v>
      </c>
    </row>
    <row r="6" spans="1:17" s="53" customFormat="1" ht="25.5" x14ac:dyDescent="0.25">
      <c r="A6" s="118">
        <v>1</v>
      </c>
      <c r="B6" s="119" t="s">
        <v>35</v>
      </c>
      <c r="C6" s="120">
        <v>609294348</v>
      </c>
      <c r="D6" s="120">
        <v>525.29999999999995</v>
      </c>
      <c r="E6" s="121">
        <f>C6*D6/10000000</f>
        <v>32006.232100439996</v>
      </c>
      <c r="F6" s="120">
        <v>609294348</v>
      </c>
      <c r="G6" s="120">
        <v>331.65</v>
      </c>
      <c r="H6" s="121">
        <f>F6*G6/10000000</f>
        <v>20207.247051419999</v>
      </c>
      <c r="I6" s="120">
        <v>609294348</v>
      </c>
      <c r="J6" s="120">
        <v>598</v>
      </c>
      <c r="K6" s="121">
        <f t="shared" ref="K6:K12" si="0">I6*J6/10000000</f>
        <v>36435.802010400002</v>
      </c>
      <c r="L6" s="120">
        <v>609294348</v>
      </c>
      <c r="M6" s="120">
        <v>672.15</v>
      </c>
      <c r="N6" s="121">
        <f t="shared" ref="N6:N12" si="1">L6*M6/10000000</f>
        <v>40953.719600820004</v>
      </c>
      <c r="O6" s="122">
        <v>609294348</v>
      </c>
      <c r="P6" s="122">
        <v>580.25</v>
      </c>
      <c r="Q6" s="121">
        <f>O6*P6/10000000</f>
        <v>35354.304542700003</v>
      </c>
    </row>
    <row r="7" spans="1:17" ht="25.5" x14ac:dyDescent="0.25">
      <c r="A7" s="108">
        <v>2</v>
      </c>
      <c r="B7" s="113" t="s">
        <v>8</v>
      </c>
      <c r="C7" s="112">
        <v>160000000</v>
      </c>
      <c r="D7" s="110" t="s">
        <v>65</v>
      </c>
      <c r="E7" s="110" t="s">
        <v>65</v>
      </c>
      <c r="F7" s="112">
        <v>160000000</v>
      </c>
      <c r="G7" s="110">
        <v>982.4</v>
      </c>
      <c r="H7" s="111">
        <f>F7*G7/10000000</f>
        <v>15718.4</v>
      </c>
      <c r="I7" s="112">
        <v>160000000</v>
      </c>
      <c r="J7" s="110">
        <v>1756.2</v>
      </c>
      <c r="K7" s="111">
        <f t="shared" si="0"/>
        <v>28099.200000000001</v>
      </c>
      <c r="L7" s="110">
        <v>800000000</v>
      </c>
      <c r="M7" s="110">
        <v>774.6</v>
      </c>
      <c r="N7" s="111">
        <f t="shared" si="1"/>
        <v>61968</v>
      </c>
      <c r="O7" s="114">
        <v>800000000</v>
      </c>
      <c r="P7" s="112">
        <v>573</v>
      </c>
      <c r="Q7" s="111">
        <f>O7*P7/10000000</f>
        <v>45840</v>
      </c>
    </row>
    <row r="8" spans="1:17" s="53" customFormat="1" x14ac:dyDescent="0.25">
      <c r="A8" s="118">
        <v>3</v>
      </c>
      <c r="B8" s="119" t="s">
        <v>13</v>
      </c>
      <c r="C8" s="120">
        <v>200000000</v>
      </c>
      <c r="D8" s="120">
        <v>259.95</v>
      </c>
      <c r="E8" s="121">
        <f>C8*D8/10000000</f>
        <v>5199</v>
      </c>
      <c r="F8" s="120">
        <v>250000000</v>
      </c>
      <c r="G8" s="120">
        <v>246.1</v>
      </c>
      <c r="H8" s="121">
        <f>F8*G8/10000000</f>
        <v>6152.5</v>
      </c>
      <c r="I8" s="120">
        <v>240300000</v>
      </c>
      <c r="J8" s="120">
        <v>240.8</v>
      </c>
      <c r="K8" s="121">
        <f t="shared" si="0"/>
        <v>5786.424</v>
      </c>
      <c r="L8" s="120">
        <v>240300000</v>
      </c>
      <c r="M8" s="120">
        <v>262.5</v>
      </c>
      <c r="N8" s="121">
        <f t="shared" si="1"/>
        <v>6307.875</v>
      </c>
      <c r="O8" s="120">
        <v>240300000</v>
      </c>
      <c r="P8" s="122">
        <v>354.55</v>
      </c>
      <c r="Q8" s="121">
        <f t="shared" ref="Q8:Q12" si="2">O8*P8/10000000</f>
        <v>8519.8364999999994</v>
      </c>
    </row>
    <row r="9" spans="1:17" x14ac:dyDescent="0.25">
      <c r="A9" s="108">
        <v>4</v>
      </c>
      <c r="B9" s="109" t="s">
        <v>10</v>
      </c>
      <c r="C9" s="110">
        <v>94051574</v>
      </c>
      <c r="D9" s="110">
        <v>402.25</v>
      </c>
      <c r="E9" s="110">
        <v>3783.22</v>
      </c>
      <c r="F9" s="110">
        <v>94051574</v>
      </c>
      <c r="G9" s="110">
        <v>381.05</v>
      </c>
      <c r="H9" s="111">
        <f>F9*G9/10000000</f>
        <v>3583.8352272700004</v>
      </c>
      <c r="I9" s="110">
        <v>470257870</v>
      </c>
      <c r="J9" s="110">
        <v>88.3</v>
      </c>
      <c r="K9" s="111">
        <f t="shared" si="0"/>
        <v>4152.3769921000003</v>
      </c>
      <c r="L9" s="110">
        <v>940515710</v>
      </c>
      <c r="M9" s="110">
        <v>39.799999999999997</v>
      </c>
      <c r="N9" s="111">
        <f t="shared" si="1"/>
        <v>3743.2525258000001</v>
      </c>
      <c r="O9" s="112">
        <v>940515710</v>
      </c>
      <c r="P9" s="112">
        <v>56</v>
      </c>
      <c r="Q9" s="111">
        <f t="shared" si="2"/>
        <v>5266.887976</v>
      </c>
    </row>
    <row r="10" spans="1:17" s="53" customFormat="1" x14ac:dyDescent="0.25">
      <c r="A10" s="118">
        <v>5</v>
      </c>
      <c r="B10" s="119" t="s">
        <v>11</v>
      </c>
      <c r="C10" s="120">
        <v>2085020100</v>
      </c>
      <c r="D10" s="120" t="s">
        <v>65</v>
      </c>
      <c r="E10" s="120" t="s">
        <v>65</v>
      </c>
      <c r="F10" s="120">
        <v>2085020100</v>
      </c>
      <c r="G10" s="120">
        <v>12.9</v>
      </c>
      <c r="H10" s="121">
        <f>F10*G10/10000000</f>
        <v>2689.675929</v>
      </c>
      <c r="I10" s="120">
        <v>2085020100</v>
      </c>
      <c r="J10" s="120">
        <v>29.1</v>
      </c>
      <c r="K10" s="121">
        <f t="shared" si="0"/>
        <v>6067.4084910000001</v>
      </c>
      <c r="L10" s="120">
        <v>2085020100</v>
      </c>
      <c r="M10" s="120">
        <v>32.700000000000003</v>
      </c>
      <c r="N10" s="121">
        <f t="shared" si="1"/>
        <v>6818.0157270000009</v>
      </c>
      <c r="O10" s="120">
        <v>2085020100</v>
      </c>
      <c r="P10" s="122">
        <v>68.599999999999994</v>
      </c>
      <c r="Q10" s="121">
        <f t="shared" si="2"/>
        <v>14303.237886000001</v>
      </c>
    </row>
    <row r="11" spans="1:17" x14ac:dyDescent="0.25">
      <c r="A11" s="108">
        <v>6</v>
      </c>
      <c r="B11" s="109" t="s">
        <v>12</v>
      </c>
      <c r="C11" s="110">
        <v>320938407</v>
      </c>
      <c r="D11" s="110" t="s">
        <v>65</v>
      </c>
      <c r="E11" s="110" t="s">
        <v>65</v>
      </c>
      <c r="F11" s="110">
        <v>320938407</v>
      </c>
      <c r="G11" s="110" t="s">
        <v>65</v>
      </c>
      <c r="H11" s="110" t="s">
        <v>65</v>
      </c>
      <c r="I11" s="110">
        <v>320938407</v>
      </c>
      <c r="J11" s="110">
        <v>126.8</v>
      </c>
      <c r="K11" s="111">
        <f t="shared" si="0"/>
        <v>4069.4990007599999</v>
      </c>
      <c r="L11" s="110">
        <v>320938407</v>
      </c>
      <c r="M11" s="110">
        <v>84.1</v>
      </c>
      <c r="N11" s="111">
        <f t="shared" si="1"/>
        <v>2699.0920028699998</v>
      </c>
      <c r="O11" s="110">
        <v>320938407</v>
      </c>
      <c r="P11" s="112">
        <v>101.1</v>
      </c>
      <c r="Q11" s="111">
        <f t="shared" si="2"/>
        <v>3244.6872947699999</v>
      </c>
    </row>
    <row r="12" spans="1:17" s="53" customFormat="1" ht="25.5" x14ac:dyDescent="0.25">
      <c r="A12" s="118">
        <v>7</v>
      </c>
      <c r="B12" s="119" t="s">
        <v>9</v>
      </c>
      <c r="C12" s="120" t="s">
        <v>65</v>
      </c>
      <c r="D12" s="120" t="s">
        <v>65</v>
      </c>
      <c r="E12" s="120" t="s">
        <v>65</v>
      </c>
      <c r="F12" s="120" t="s">
        <v>65</v>
      </c>
      <c r="G12" s="120" t="s">
        <v>65</v>
      </c>
      <c r="H12" s="120" t="s">
        <v>65</v>
      </c>
      <c r="I12" s="122">
        <v>13068506000</v>
      </c>
      <c r="J12" s="120">
        <v>22.9</v>
      </c>
      <c r="K12" s="121">
        <f t="shared" si="0"/>
        <v>29926.87874</v>
      </c>
      <c r="L12" s="122">
        <v>13068506000</v>
      </c>
      <c r="M12" s="120">
        <v>21.45</v>
      </c>
      <c r="N12" s="121">
        <f t="shared" si="1"/>
        <v>28031.945370000001</v>
      </c>
      <c r="O12" s="122">
        <v>13068506000</v>
      </c>
      <c r="P12" s="122">
        <v>26.6</v>
      </c>
      <c r="Q12" s="121">
        <f t="shared" si="2"/>
        <v>34762.225960000003</v>
      </c>
    </row>
    <row r="13" spans="1:17" x14ac:dyDescent="0.25">
      <c r="A13" s="115"/>
      <c r="B13" s="104" t="s">
        <v>94</v>
      </c>
      <c r="C13" s="116">
        <f>SUM(C6:C12)</f>
        <v>3469304429</v>
      </c>
      <c r="D13" s="116"/>
      <c r="E13" s="117">
        <f>SUM(E6:E12)</f>
        <v>40988.452100440001</v>
      </c>
      <c r="F13" s="116">
        <f>SUM(F6:F12)</f>
        <v>3519304429</v>
      </c>
      <c r="G13" s="116"/>
      <c r="H13" s="117">
        <f>SUM(H6:H12)</f>
        <v>48351.658207689994</v>
      </c>
      <c r="I13" s="116">
        <f>SUM(I6:I12)</f>
        <v>16954316725</v>
      </c>
      <c r="J13" s="116"/>
      <c r="K13" s="117">
        <f>SUM(K6:K12)</f>
        <v>114537.58923426</v>
      </c>
      <c r="L13" s="116">
        <f>SUM(L6:L12)</f>
        <v>18064574565</v>
      </c>
      <c r="M13" s="116"/>
      <c r="N13" s="117">
        <f>SUM(N6:N12)</f>
        <v>150521.90022649002</v>
      </c>
      <c r="O13" s="116">
        <f>SUM(O6:O12)</f>
        <v>18064574565</v>
      </c>
      <c r="P13" s="116"/>
      <c r="Q13" s="117">
        <f>SUM(Q6:Q12)</f>
        <v>147291.18015947001</v>
      </c>
    </row>
    <row r="21" spans="14:14" x14ac:dyDescent="0.25">
      <c r="N21" s="6"/>
    </row>
  </sheetData>
  <mergeCells count="9">
    <mergeCell ref="A1:Q1"/>
    <mergeCell ref="A2:Q2"/>
    <mergeCell ref="I3:K3"/>
    <mergeCell ref="L3:N3"/>
    <mergeCell ref="F3:H3"/>
    <mergeCell ref="C3:E3"/>
    <mergeCell ref="B3:B5"/>
    <mergeCell ref="O3:Q3"/>
    <mergeCell ref="A3:A5"/>
  </mergeCells>
  <pageMargins left="0.7" right="0.7" top="0.75" bottom="0.75" header="0.3" footer="0.3"/>
  <pageSetup paperSize="9" scale="60" fitToHeight="0" orientation="landscape" r:id="rId1"/>
  <headerFooter>
    <oddHeader xml:space="preserve">&amp;R&amp;"Times New Roman,Bold Italic"Annexure </oddHeader>
    <oddFooter>&amp;L&amp;"Times New Roman,Bold Italic"Report No.  of 2024&amp;R&amp;"Times New Roman,Bold Italic"Page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view="pageLayout" topLeftCell="A35" zoomScaleNormal="100" zoomScaleSheetLayoutView="80" workbookViewId="0">
      <selection activeCell="B38" sqref="B38"/>
    </sheetView>
  </sheetViews>
  <sheetFormatPr defaultColWidth="9.140625" defaultRowHeight="15" x14ac:dyDescent="0.25"/>
  <cols>
    <col min="1" max="1" width="5.140625" style="7" customWidth="1"/>
    <col min="2" max="2" width="25.5703125" style="7" customWidth="1"/>
    <col min="3" max="3" width="10.7109375" style="7" customWidth="1"/>
    <col min="4" max="4" width="12.42578125" style="7" customWidth="1"/>
    <col min="5" max="5" width="12.140625" style="7" customWidth="1"/>
    <col min="6" max="6" width="8.42578125" style="7" customWidth="1"/>
    <col min="7" max="7" width="9.28515625" style="7" bestFit="1" customWidth="1"/>
    <col min="8" max="8" width="10" style="7" customWidth="1"/>
    <col min="9" max="9" width="10.140625" style="9" customWidth="1"/>
    <col min="10" max="16384" width="9.140625" style="7"/>
  </cols>
  <sheetData>
    <row r="1" spans="1:9" ht="15.75" x14ac:dyDescent="0.25">
      <c r="A1" s="321" t="s">
        <v>197</v>
      </c>
      <c r="B1" s="321"/>
      <c r="C1" s="321"/>
      <c r="D1" s="321"/>
      <c r="E1" s="321"/>
      <c r="F1" s="321"/>
      <c r="G1" s="321"/>
      <c r="H1" s="321"/>
      <c r="I1" s="321"/>
    </row>
    <row r="2" spans="1:9" ht="15.75" x14ac:dyDescent="0.25">
      <c r="A2" s="194" t="s">
        <v>188</v>
      </c>
      <c r="B2" s="194"/>
      <c r="C2" s="194"/>
      <c r="D2" s="194"/>
      <c r="E2" s="322"/>
      <c r="F2" s="322"/>
      <c r="G2" s="322"/>
      <c r="H2" s="322"/>
      <c r="I2" s="322"/>
    </row>
    <row r="3" spans="1:9" s="132" customFormat="1" ht="47.25" x14ac:dyDescent="0.25">
      <c r="A3" s="129" t="s">
        <v>36</v>
      </c>
      <c r="B3" s="130" t="s">
        <v>0</v>
      </c>
      <c r="C3" s="130" t="s">
        <v>58</v>
      </c>
      <c r="D3" s="129" t="s">
        <v>59</v>
      </c>
      <c r="E3" s="129" t="s">
        <v>164</v>
      </c>
      <c r="F3" s="129" t="s">
        <v>165</v>
      </c>
      <c r="G3" s="129" t="s">
        <v>166</v>
      </c>
      <c r="H3" s="129" t="s">
        <v>60</v>
      </c>
      <c r="I3" s="131" t="s">
        <v>173</v>
      </c>
    </row>
    <row r="4" spans="1:9" ht="15.75" x14ac:dyDescent="0.25">
      <c r="A4" s="323" t="s">
        <v>133</v>
      </c>
      <c r="B4" s="323"/>
      <c r="C4" s="323"/>
      <c r="D4" s="323"/>
      <c r="E4" s="11"/>
      <c r="F4" s="11"/>
      <c r="G4" s="11"/>
      <c r="H4" s="11"/>
      <c r="I4" s="48"/>
    </row>
    <row r="5" spans="1:9" s="132" customFormat="1" ht="47.25" x14ac:dyDescent="0.25">
      <c r="A5" s="133">
        <v>1</v>
      </c>
      <c r="B5" s="134" t="s">
        <v>92</v>
      </c>
      <c r="C5" s="57">
        <v>-19.7</v>
      </c>
      <c r="D5" s="57">
        <v>0</v>
      </c>
      <c r="E5" s="135">
        <v>15975.94</v>
      </c>
      <c r="F5" s="135">
        <f>C5*0.3</f>
        <v>-5.9099999999999993</v>
      </c>
      <c r="G5" s="135">
        <f>E5*0.05</f>
        <v>798.79700000000003</v>
      </c>
      <c r="H5" s="135">
        <v>798.8</v>
      </c>
      <c r="I5" s="20">
        <v>798.8</v>
      </c>
    </row>
    <row r="6" spans="1:9" ht="31.5" x14ac:dyDescent="0.25">
      <c r="A6" s="124">
        <v>2</v>
      </c>
      <c r="B6" s="125" t="s">
        <v>179</v>
      </c>
      <c r="C6" s="47">
        <v>1169.08</v>
      </c>
      <c r="D6" s="48">
        <v>670.22</v>
      </c>
      <c r="E6" s="48">
        <v>11244.98</v>
      </c>
      <c r="F6" s="126">
        <f t="shared" ref="F6:F53" si="0">C6*0.3</f>
        <v>350.72399999999999</v>
      </c>
      <c r="G6" s="126">
        <f t="shared" ref="G6:G53" si="1">E6*0.05</f>
        <v>562.24900000000002</v>
      </c>
      <c r="H6" s="126">
        <f>G6</f>
        <v>562.24900000000002</v>
      </c>
      <c r="I6" s="48">
        <v>0</v>
      </c>
    </row>
    <row r="7" spans="1:9" s="132" customFormat="1" ht="47.25" x14ac:dyDescent="0.25">
      <c r="A7" s="133">
        <v>3</v>
      </c>
      <c r="B7" s="134" t="s">
        <v>180</v>
      </c>
      <c r="C7" s="57">
        <v>1005.88</v>
      </c>
      <c r="D7" s="20">
        <v>440</v>
      </c>
      <c r="E7" s="20">
        <v>2478.4</v>
      </c>
      <c r="F7" s="136">
        <f t="shared" si="0"/>
        <v>301.76400000000001</v>
      </c>
      <c r="G7" s="136">
        <f t="shared" si="1"/>
        <v>123.92000000000002</v>
      </c>
      <c r="H7" s="136">
        <f>F7</f>
        <v>301.76400000000001</v>
      </c>
      <c r="I7" s="20">
        <v>0</v>
      </c>
    </row>
    <row r="8" spans="1:9" ht="31.5" x14ac:dyDescent="0.25">
      <c r="A8" s="124">
        <v>4</v>
      </c>
      <c r="B8" s="125" t="s">
        <v>181</v>
      </c>
      <c r="C8" s="47">
        <v>6337.01</v>
      </c>
      <c r="D8" s="48">
        <v>1960.28</v>
      </c>
      <c r="E8" s="48">
        <v>45470.31</v>
      </c>
      <c r="F8" s="126">
        <f t="shared" si="0"/>
        <v>1901.1030000000001</v>
      </c>
      <c r="G8" s="126">
        <f t="shared" si="1"/>
        <v>2273.5155</v>
      </c>
      <c r="H8" s="126">
        <f>G8</f>
        <v>2273.5155</v>
      </c>
      <c r="I8" s="48">
        <f t="shared" ref="I8:I54" si="2">H8-D8</f>
        <v>313.2355</v>
      </c>
    </row>
    <row r="9" spans="1:9" s="132" customFormat="1" ht="15.75" x14ac:dyDescent="0.25">
      <c r="A9" s="133">
        <v>5</v>
      </c>
      <c r="B9" s="134" t="s">
        <v>182</v>
      </c>
      <c r="C9" s="57">
        <v>776.83</v>
      </c>
      <c r="D9" s="20">
        <v>280</v>
      </c>
      <c r="E9" s="20">
        <v>5178.4799999999996</v>
      </c>
      <c r="F9" s="136">
        <f t="shared" si="0"/>
        <v>233.04900000000001</v>
      </c>
      <c r="G9" s="136">
        <f t="shared" si="1"/>
        <v>258.92399999999998</v>
      </c>
      <c r="H9" s="136">
        <f>G9</f>
        <v>258.92399999999998</v>
      </c>
      <c r="I9" s="20">
        <v>0</v>
      </c>
    </row>
    <row r="10" spans="1:9" ht="15.75" x14ac:dyDescent="0.25">
      <c r="A10" s="124">
        <v>6</v>
      </c>
      <c r="B10" s="125" t="s">
        <v>183</v>
      </c>
      <c r="C10" s="47">
        <v>1267.97</v>
      </c>
      <c r="D10" s="48">
        <v>444.11</v>
      </c>
      <c r="E10" s="48">
        <v>6479.15</v>
      </c>
      <c r="F10" s="126">
        <f t="shared" si="0"/>
        <v>380.39100000000002</v>
      </c>
      <c r="G10" s="126">
        <f t="shared" si="1"/>
        <v>323.95749999999998</v>
      </c>
      <c r="H10" s="126">
        <f>F10</f>
        <v>380.39100000000002</v>
      </c>
      <c r="I10" s="48">
        <v>0</v>
      </c>
    </row>
    <row r="11" spans="1:9" s="132" customFormat="1" ht="31.5" x14ac:dyDescent="0.25">
      <c r="A11" s="133">
        <v>7</v>
      </c>
      <c r="B11" s="134" t="s">
        <v>184</v>
      </c>
      <c r="C11" s="57">
        <v>187.38</v>
      </c>
      <c r="D11" s="57">
        <v>81.83</v>
      </c>
      <c r="E11" s="20">
        <v>1636.5</v>
      </c>
      <c r="F11" s="136">
        <f t="shared" si="0"/>
        <v>56.213999999999999</v>
      </c>
      <c r="G11" s="136">
        <f t="shared" si="1"/>
        <v>81.825000000000003</v>
      </c>
      <c r="H11" s="136">
        <f>G11</f>
        <v>81.825000000000003</v>
      </c>
      <c r="I11" s="20">
        <v>0</v>
      </c>
    </row>
    <row r="12" spans="1:9" ht="15.75" x14ac:dyDescent="0.25">
      <c r="A12" s="124">
        <v>8</v>
      </c>
      <c r="B12" s="125" t="s">
        <v>185</v>
      </c>
      <c r="C12" s="47">
        <v>530.54</v>
      </c>
      <c r="D12" s="48">
        <v>492.62</v>
      </c>
      <c r="E12" s="48">
        <v>2503.04</v>
      </c>
      <c r="F12" s="126">
        <f t="shared" si="0"/>
        <v>159.16199999999998</v>
      </c>
      <c r="G12" s="126">
        <f t="shared" si="1"/>
        <v>125.152</v>
      </c>
      <c r="H12" s="126">
        <f>F12</f>
        <v>159.16199999999998</v>
      </c>
      <c r="I12" s="48">
        <v>0</v>
      </c>
    </row>
    <row r="13" spans="1:9" s="132" customFormat="1" ht="31.5" x14ac:dyDescent="0.25">
      <c r="A13" s="133">
        <v>9</v>
      </c>
      <c r="B13" s="134" t="s">
        <v>119</v>
      </c>
      <c r="C13" s="57">
        <v>49.72</v>
      </c>
      <c r="D13" s="20">
        <v>0</v>
      </c>
      <c r="E13" s="136">
        <v>200.32</v>
      </c>
      <c r="F13" s="136">
        <f t="shared" si="0"/>
        <v>14.915999999999999</v>
      </c>
      <c r="G13" s="136">
        <f t="shared" si="1"/>
        <v>10.016</v>
      </c>
      <c r="H13" s="136">
        <f>F13</f>
        <v>14.915999999999999</v>
      </c>
      <c r="I13" s="20">
        <f t="shared" si="2"/>
        <v>14.915999999999999</v>
      </c>
    </row>
    <row r="14" spans="1:9" ht="31.5" x14ac:dyDescent="0.25">
      <c r="A14" s="124">
        <v>11</v>
      </c>
      <c r="B14" s="125" t="s">
        <v>152</v>
      </c>
      <c r="C14" s="47">
        <v>0.75</v>
      </c>
      <c r="D14" s="48">
        <v>0</v>
      </c>
      <c r="E14" s="48">
        <v>3759.35</v>
      </c>
      <c r="F14" s="126">
        <f t="shared" si="0"/>
        <v>0.22499999999999998</v>
      </c>
      <c r="G14" s="126">
        <f t="shared" si="1"/>
        <v>187.9675</v>
      </c>
      <c r="H14" s="126">
        <f>G14</f>
        <v>187.9675</v>
      </c>
      <c r="I14" s="48">
        <f t="shared" si="2"/>
        <v>187.9675</v>
      </c>
    </row>
    <row r="15" spans="1:9" s="132" customFormat="1" ht="31.5" x14ac:dyDescent="0.25">
      <c r="A15" s="133">
        <v>13</v>
      </c>
      <c r="B15" s="134" t="s">
        <v>16</v>
      </c>
      <c r="C15" s="57">
        <v>278.93</v>
      </c>
      <c r="D15" s="20">
        <v>0</v>
      </c>
      <c r="E15" s="20">
        <v>1792.43</v>
      </c>
      <c r="F15" s="136">
        <f t="shared" si="0"/>
        <v>83.679000000000002</v>
      </c>
      <c r="G15" s="136">
        <f t="shared" si="1"/>
        <v>89.621500000000012</v>
      </c>
      <c r="H15" s="136">
        <f>G15</f>
        <v>89.621500000000012</v>
      </c>
      <c r="I15" s="20">
        <f t="shared" si="2"/>
        <v>89.621500000000012</v>
      </c>
    </row>
    <row r="16" spans="1:9" ht="31.5" x14ac:dyDescent="0.25">
      <c r="A16" s="124">
        <v>14</v>
      </c>
      <c r="B16" s="125" t="s">
        <v>143</v>
      </c>
      <c r="C16" s="47">
        <v>87.42</v>
      </c>
      <c r="D16" s="48">
        <v>0</v>
      </c>
      <c r="E16" s="48">
        <v>321.74</v>
      </c>
      <c r="F16" s="126">
        <f t="shared" si="0"/>
        <v>26.225999999999999</v>
      </c>
      <c r="G16" s="126">
        <f t="shared" si="1"/>
        <v>16.087</v>
      </c>
      <c r="H16" s="126">
        <f>F16</f>
        <v>26.225999999999999</v>
      </c>
      <c r="I16" s="48">
        <f t="shared" si="2"/>
        <v>26.225999999999999</v>
      </c>
    </row>
    <row r="17" spans="1:9" s="132" customFormat="1" ht="15.75" x14ac:dyDescent="0.25">
      <c r="A17" s="133">
        <v>15</v>
      </c>
      <c r="B17" s="134" t="s">
        <v>154</v>
      </c>
      <c r="C17" s="314" t="s">
        <v>187</v>
      </c>
      <c r="D17" s="315"/>
      <c r="E17" s="316"/>
      <c r="F17" s="316"/>
      <c r="G17" s="316"/>
      <c r="H17" s="316"/>
      <c r="I17" s="317"/>
    </row>
    <row r="18" spans="1:9" ht="15.75" x14ac:dyDescent="0.25">
      <c r="A18" s="124">
        <v>16</v>
      </c>
      <c r="B18" s="125" t="s">
        <v>17</v>
      </c>
      <c r="C18" s="126">
        <v>-2.46</v>
      </c>
      <c r="D18" s="126">
        <v>0</v>
      </c>
      <c r="E18" s="48">
        <v>0.18</v>
      </c>
      <c r="F18" s="126">
        <f t="shared" si="0"/>
        <v>-0.73799999999999999</v>
      </c>
      <c r="G18" s="126">
        <f t="shared" si="1"/>
        <v>8.9999999999999993E-3</v>
      </c>
      <c r="H18" s="126">
        <v>0</v>
      </c>
      <c r="I18" s="48">
        <f>H18-D18</f>
        <v>0</v>
      </c>
    </row>
    <row r="19" spans="1:9" s="132" customFormat="1" ht="31.5" x14ac:dyDescent="0.25">
      <c r="A19" s="133">
        <v>17</v>
      </c>
      <c r="B19" s="134" t="s">
        <v>93</v>
      </c>
      <c r="C19" s="136">
        <v>3.1</v>
      </c>
      <c r="D19" s="136">
        <v>0</v>
      </c>
      <c r="E19" s="136">
        <v>0</v>
      </c>
      <c r="F19" s="136">
        <f t="shared" si="0"/>
        <v>0.92999999999999994</v>
      </c>
      <c r="G19" s="136">
        <v>0</v>
      </c>
      <c r="H19" s="136">
        <v>0</v>
      </c>
      <c r="I19" s="20">
        <v>0</v>
      </c>
    </row>
    <row r="20" spans="1:9" ht="15.75" x14ac:dyDescent="0.25">
      <c r="A20" s="311" t="s">
        <v>94</v>
      </c>
      <c r="B20" s="311"/>
      <c r="C20" s="123">
        <f>SUM(C5:C19)</f>
        <v>11672.449999999999</v>
      </c>
      <c r="D20" s="123">
        <v>4371.21</v>
      </c>
      <c r="E20" s="127">
        <f>SUM(E6:E19)</f>
        <v>81064.87999999999</v>
      </c>
      <c r="F20" s="127"/>
      <c r="G20" s="127"/>
      <c r="H20" s="127">
        <f>SUM(H5:H19)</f>
        <v>5135.3615</v>
      </c>
      <c r="I20" s="128">
        <f>H20-D20</f>
        <v>764.15149999999994</v>
      </c>
    </row>
    <row r="21" spans="1:9" s="132" customFormat="1" ht="15.75" x14ac:dyDescent="0.25">
      <c r="A21" s="133">
        <v>18</v>
      </c>
      <c r="B21" s="134" t="s">
        <v>62</v>
      </c>
      <c r="C21" s="57">
        <v>-1.1000000000000001</v>
      </c>
      <c r="D21" s="57">
        <v>0</v>
      </c>
      <c r="E21" s="20">
        <v>23.13</v>
      </c>
      <c r="F21" s="136">
        <f t="shared" si="0"/>
        <v>-0.33</v>
      </c>
      <c r="G21" s="136">
        <f>E21*0.05</f>
        <v>1.1565000000000001</v>
      </c>
      <c r="H21" s="136">
        <f>G21</f>
        <v>1.1565000000000001</v>
      </c>
      <c r="I21" s="20">
        <f t="shared" si="2"/>
        <v>1.1565000000000001</v>
      </c>
    </row>
    <row r="22" spans="1:9" ht="31.5" x14ac:dyDescent="0.25">
      <c r="A22" s="124">
        <v>19</v>
      </c>
      <c r="B22" s="125" t="s">
        <v>121</v>
      </c>
      <c r="C22" s="47">
        <v>-2.57</v>
      </c>
      <c r="D22" s="47">
        <v>0</v>
      </c>
      <c r="E22" s="48">
        <v>38.92</v>
      </c>
      <c r="F22" s="126">
        <f t="shared" si="0"/>
        <v>-0.77099999999999991</v>
      </c>
      <c r="G22" s="126">
        <f t="shared" ref="G22:G37" si="3">E22*0.05</f>
        <v>1.9460000000000002</v>
      </c>
      <c r="H22" s="126">
        <f t="shared" ref="H22:H52" si="4">G22</f>
        <v>1.9460000000000002</v>
      </c>
      <c r="I22" s="48">
        <f t="shared" si="2"/>
        <v>1.9460000000000002</v>
      </c>
    </row>
    <row r="23" spans="1:9" s="132" customFormat="1" ht="31.5" x14ac:dyDescent="0.25">
      <c r="A23" s="133">
        <v>20</v>
      </c>
      <c r="B23" s="134" t="s">
        <v>46</v>
      </c>
      <c r="C23" s="57">
        <v>-0.91</v>
      </c>
      <c r="D23" s="20">
        <v>0</v>
      </c>
      <c r="E23" s="20">
        <v>158.97999999999999</v>
      </c>
      <c r="F23" s="136">
        <f t="shared" si="0"/>
        <v>-0.27300000000000002</v>
      </c>
      <c r="G23" s="136">
        <f t="shared" si="3"/>
        <v>7.9489999999999998</v>
      </c>
      <c r="H23" s="136">
        <f t="shared" si="4"/>
        <v>7.9489999999999998</v>
      </c>
      <c r="I23" s="20">
        <f t="shared" si="2"/>
        <v>7.9489999999999998</v>
      </c>
    </row>
    <row r="24" spans="1:9" ht="31.5" x14ac:dyDescent="0.25">
      <c r="A24" s="124">
        <v>21</v>
      </c>
      <c r="B24" s="125" t="s">
        <v>122</v>
      </c>
      <c r="C24" s="47">
        <v>1.61</v>
      </c>
      <c r="D24" s="48">
        <v>0</v>
      </c>
      <c r="E24" s="48">
        <v>91.89</v>
      </c>
      <c r="F24" s="126">
        <f t="shared" si="0"/>
        <v>0.48299999999999998</v>
      </c>
      <c r="G24" s="126">
        <f t="shared" si="3"/>
        <v>4.5945</v>
      </c>
      <c r="H24" s="126">
        <f t="shared" si="4"/>
        <v>4.5945</v>
      </c>
      <c r="I24" s="48">
        <f t="shared" si="2"/>
        <v>4.5945</v>
      </c>
    </row>
    <row r="25" spans="1:9" s="132" customFormat="1" ht="31.5" x14ac:dyDescent="0.25">
      <c r="A25" s="133">
        <v>22</v>
      </c>
      <c r="B25" s="134" t="s">
        <v>80</v>
      </c>
      <c r="C25" s="57">
        <v>3.67</v>
      </c>
      <c r="D25" s="20">
        <v>0</v>
      </c>
      <c r="E25" s="20">
        <v>75.069999999999993</v>
      </c>
      <c r="F25" s="136">
        <f t="shared" si="0"/>
        <v>1.101</v>
      </c>
      <c r="G25" s="136">
        <f t="shared" si="3"/>
        <v>3.7534999999999998</v>
      </c>
      <c r="H25" s="136">
        <f t="shared" si="4"/>
        <v>3.7534999999999998</v>
      </c>
      <c r="I25" s="20">
        <f t="shared" si="2"/>
        <v>3.7534999999999998</v>
      </c>
    </row>
    <row r="26" spans="1:9" ht="15.75" x14ac:dyDescent="0.25">
      <c r="A26" s="124">
        <v>23</v>
      </c>
      <c r="B26" s="125" t="s">
        <v>123</v>
      </c>
      <c r="C26" s="47">
        <v>-17.170000000000002</v>
      </c>
      <c r="D26" s="48">
        <v>0</v>
      </c>
      <c r="E26" s="48">
        <v>152.07</v>
      </c>
      <c r="F26" s="126">
        <f t="shared" si="0"/>
        <v>-5.1510000000000007</v>
      </c>
      <c r="G26" s="126">
        <f t="shared" si="3"/>
        <v>7.6035000000000004</v>
      </c>
      <c r="H26" s="126">
        <f t="shared" si="4"/>
        <v>7.6035000000000004</v>
      </c>
      <c r="I26" s="48">
        <f t="shared" si="2"/>
        <v>7.6035000000000004</v>
      </c>
    </row>
    <row r="27" spans="1:9" s="132" customFormat="1" ht="31.5" x14ac:dyDescent="0.25">
      <c r="A27" s="133">
        <v>24</v>
      </c>
      <c r="B27" s="134" t="s">
        <v>135</v>
      </c>
      <c r="C27" s="57">
        <v>-14.34</v>
      </c>
      <c r="D27" s="20">
        <v>0</v>
      </c>
      <c r="E27" s="20">
        <v>47.36</v>
      </c>
      <c r="F27" s="136">
        <f t="shared" si="0"/>
        <v>-4.3019999999999996</v>
      </c>
      <c r="G27" s="136">
        <f t="shared" si="3"/>
        <v>2.3679999999999999</v>
      </c>
      <c r="H27" s="136">
        <f t="shared" si="4"/>
        <v>2.3679999999999999</v>
      </c>
      <c r="I27" s="20">
        <f t="shared" si="2"/>
        <v>2.3679999999999999</v>
      </c>
    </row>
    <row r="28" spans="1:9" ht="31.5" x14ac:dyDescent="0.25">
      <c r="A28" s="124">
        <v>25</v>
      </c>
      <c r="B28" s="125" t="s">
        <v>141</v>
      </c>
      <c r="C28" s="47">
        <v>26.37</v>
      </c>
      <c r="D28" s="48">
        <v>0</v>
      </c>
      <c r="E28" s="48">
        <v>223.29</v>
      </c>
      <c r="F28" s="126">
        <f t="shared" si="0"/>
        <v>7.9109999999999996</v>
      </c>
      <c r="G28" s="126">
        <f t="shared" si="3"/>
        <v>11.1645</v>
      </c>
      <c r="H28" s="126">
        <f t="shared" si="4"/>
        <v>11.1645</v>
      </c>
      <c r="I28" s="48">
        <f t="shared" si="2"/>
        <v>11.1645</v>
      </c>
    </row>
    <row r="29" spans="1:9" s="132" customFormat="1" ht="31.5" x14ac:dyDescent="0.25">
      <c r="A29" s="133">
        <v>26</v>
      </c>
      <c r="B29" s="134" t="s">
        <v>137</v>
      </c>
      <c r="C29" s="57">
        <v>21.74</v>
      </c>
      <c r="D29" s="20">
        <v>0</v>
      </c>
      <c r="E29" s="20">
        <v>288.20999999999998</v>
      </c>
      <c r="F29" s="136">
        <f t="shared" si="0"/>
        <v>6.5219999999999994</v>
      </c>
      <c r="G29" s="136">
        <f t="shared" si="3"/>
        <v>14.410499999999999</v>
      </c>
      <c r="H29" s="136">
        <f t="shared" si="4"/>
        <v>14.410499999999999</v>
      </c>
      <c r="I29" s="20">
        <f t="shared" si="2"/>
        <v>14.410499999999999</v>
      </c>
    </row>
    <row r="30" spans="1:9" ht="31.5" x14ac:dyDescent="0.25">
      <c r="A30" s="124">
        <v>27</v>
      </c>
      <c r="B30" s="125" t="s">
        <v>144</v>
      </c>
      <c r="C30" s="47">
        <v>5.33</v>
      </c>
      <c r="D30" s="48">
        <v>0</v>
      </c>
      <c r="E30" s="48">
        <v>170.26</v>
      </c>
      <c r="F30" s="126">
        <f t="shared" si="0"/>
        <v>1.599</v>
      </c>
      <c r="G30" s="126">
        <f t="shared" si="3"/>
        <v>8.5129999999999999</v>
      </c>
      <c r="H30" s="126">
        <f t="shared" si="4"/>
        <v>8.5129999999999999</v>
      </c>
      <c r="I30" s="48">
        <f t="shared" si="2"/>
        <v>8.5129999999999999</v>
      </c>
    </row>
    <row r="31" spans="1:9" s="132" customFormat="1" ht="31.5" x14ac:dyDescent="0.25">
      <c r="A31" s="133">
        <v>28</v>
      </c>
      <c r="B31" s="134" t="s">
        <v>177</v>
      </c>
      <c r="C31" s="57">
        <v>0</v>
      </c>
      <c r="D31" s="20">
        <v>0</v>
      </c>
      <c r="E31" s="20">
        <v>0.93</v>
      </c>
      <c r="F31" s="136">
        <f t="shared" si="0"/>
        <v>0</v>
      </c>
      <c r="G31" s="136">
        <f t="shared" si="3"/>
        <v>4.6500000000000007E-2</v>
      </c>
      <c r="H31" s="136">
        <f t="shared" si="4"/>
        <v>4.6500000000000007E-2</v>
      </c>
      <c r="I31" s="20">
        <f t="shared" si="2"/>
        <v>4.6500000000000007E-2</v>
      </c>
    </row>
    <row r="32" spans="1:9" ht="31.5" x14ac:dyDescent="0.25">
      <c r="A32" s="124">
        <v>29</v>
      </c>
      <c r="B32" s="125" t="s">
        <v>125</v>
      </c>
      <c r="C32" s="47">
        <v>0.77</v>
      </c>
      <c r="D32" s="48">
        <v>0</v>
      </c>
      <c r="E32" s="48">
        <v>82.99</v>
      </c>
      <c r="F32" s="126">
        <f t="shared" si="0"/>
        <v>0.23099999999999998</v>
      </c>
      <c r="G32" s="126">
        <f t="shared" si="3"/>
        <v>4.1494999999999997</v>
      </c>
      <c r="H32" s="126">
        <f t="shared" si="4"/>
        <v>4.1494999999999997</v>
      </c>
      <c r="I32" s="48">
        <f t="shared" si="2"/>
        <v>4.1494999999999997</v>
      </c>
    </row>
    <row r="33" spans="1:9" s="132" customFormat="1" ht="31.5" x14ac:dyDescent="0.25">
      <c r="A33" s="133">
        <v>30</v>
      </c>
      <c r="B33" s="134" t="s">
        <v>142</v>
      </c>
      <c r="C33" s="57">
        <v>0.31</v>
      </c>
      <c r="D33" s="20">
        <v>0</v>
      </c>
      <c r="E33" s="20">
        <v>51.8</v>
      </c>
      <c r="F33" s="136">
        <f t="shared" si="0"/>
        <v>9.2999999999999999E-2</v>
      </c>
      <c r="G33" s="136">
        <f t="shared" si="3"/>
        <v>2.59</v>
      </c>
      <c r="H33" s="136">
        <f t="shared" si="4"/>
        <v>2.59</v>
      </c>
      <c r="I33" s="20">
        <f t="shared" si="2"/>
        <v>2.59</v>
      </c>
    </row>
    <row r="34" spans="1:9" ht="31.5" x14ac:dyDescent="0.25">
      <c r="A34" s="124">
        <v>31</v>
      </c>
      <c r="B34" s="125" t="s">
        <v>178</v>
      </c>
      <c r="C34" s="47">
        <v>0</v>
      </c>
      <c r="D34" s="48">
        <v>0</v>
      </c>
      <c r="E34" s="48">
        <v>6.77</v>
      </c>
      <c r="F34" s="126">
        <f t="shared" si="0"/>
        <v>0</v>
      </c>
      <c r="G34" s="126">
        <f t="shared" si="3"/>
        <v>0.33850000000000002</v>
      </c>
      <c r="H34" s="126">
        <f t="shared" si="4"/>
        <v>0.33850000000000002</v>
      </c>
      <c r="I34" s="48">
        <f t="shared" si="2"/>
        <v>0.33850000000000002</v>
      </c>
    </row>
    <row r="35" spans="1:9" s="132" customFormat="1" ht="31.5" x14ac:dyDescent="0.25">
      <c r="A35" s="133">
        <v>32</v>
      </c>
      <c r="B35" s="134" t="s">
        <v>128</v>
      </c>
      <c r="C35" s="57">
        <v>-0.28999999999999998</v>
      </c>
      <c r="D35" s="20">
        <v>0</v>
      </c>
      <c r="E35" s="20">
        <v>54.71</v>
      </c>
      <c r="F35" s="136">
        <f t="shared" si="0"/>
        <v>-8.6999999999999994E-2</v>
      </c>
      <c r="G35" s="136">
        <f t="shared" si="3"/>
        <v>2.7355</v>
      </c>
      <c r="H35" s="136">
        <f t="shared" si="4"/>
        <v>2.7355</v>
      </c>
      <c r="I35" s="20">
        <f t="shared" si="2"/>
        <v>2.7355</v>
      </c>
    </row>
    <row r="36" spans="1:9" ht="31.5" x14ac:dyDescent="0.25">
      <c r="A36" s="124">
        <v>33</v>
      </c>
      <c r="B36" s="125" t="s">
        <v>90</v>
      </c>
      <c r="C36" s="47">
        <v>3.3</v>
      </c>
      <c r="D36" s="47">
        <v>0</v>
      </c>
      <c r="E36" s="48">
        <v>50.02</v>
      </c>
      <c r="F36" s="126">
        <f t="shared" si="0"/>
        <v>0.98999999999999988</v>
      </c>
      <c r="G36" s="126">
        <f t="shared" si="3"/>
        <v>2.5010000000000003</v>
      </c>
      <c r="H36" s="126">
        <f t="shared" si="4"/>
        <v>2.5010000000000003</v>
      </c>
      <c r="I36" s="48">
        <f t="shared" si="2"/>
        <v>2.5010000000000003</v>
      </c>
    </row>
    <row r="37" spans="1:9" s="132" customFormat="1" ht="15.75" x14ac:dyDescent="0.25">
      <c r="A37" s="133">
        <v>34</v>
      </c>
      <c r="B37" s="134" t="s">
        <v>71</v>
      </c>
      <c r="C37" s="57">
        <v>1.01</v>
      </c>
      <c r="D37" s="57">
        <v>0</v>
      </c>
      <c r="E37" s="20">
        <v>22.4</v>
      </c>
      <c r="F37" s="136">
        <f t="shared" si="0"/>
        <v>0.30299999999999999</v>
      </c>
      <c r="G37" s="136">
        <f t="shared" si="3"/>
        <v>1.1199999999999999</v>
      </c>
      <c r="H37" s="136">
        <f t="shared" si="4"/>
        <v>1.1199999999999999</v>
      </c>
      <c r="I37" s="20">
        <f t="shared" si="2"/>
        <v>1.1199999999999999</v>
      </c>
    </row>
    <row r="38" spans="1:9" ht="15.75" x14ac:dyDescent="0.25">
      <c r="A38" s="124">
        <v>35</v>
      </c>
      <c r="B38" s="125" t="s">
        <v>202</v>
      </c>
      <c r="C38" s="47">
        <v>59.04</v>
      </c>
      <c r="D38" s="48">
        <v>57.75</v>
      </c>
      <c r="E38" s="48">
        <v>235.37</v>
      </c>
      <c r="F38" s="126">
        <f>C38*0.3</f>
        <v>17.712</v>
      </c>
      <c r="G38" s="126">
        <f>E38*0.05</f>
        <v>11.768500000000001</v>
      </c>
      <c r="H38" s="126">
        <v>17.712</v>
      </c>
      <c r="I38" s="48" t="s">
        <v>174</v>
      </c>
    </row>
    <row r="39" spans="1:9" s="132" customFormat="1" ht="15.75" x14ac:dyDescent="0.25">
      <c r="A39" s="318" t="s">
        <v>94</v>
      </c>
      <c r="B39" s="318"/>
      <c r="C39" s="131">
        <f t="shared" ref="C39:D39" si="5">SUM(C21:C38)</f>
        <v>86.77</v>
      </c>
      <c r="D39" s="131">
        <f t="shared" si="5"/>
        <v>57.75</v>
      </c>
      <c r="E39" s="137">
        <f>SUM(E21:E38)</f>
        <v>1774.17</v>
      </c>
      <c r="F39" s="137"/>
      <c r="G39" s="137"/>
      <c r="H39" s="137">
        <f>SUM(H21:H38)</f>
        <v>94.652000000000015</v>
      </c>
      <c r="I39" s="138">
        <f>H39-D39</f>
        <v>36.902000000000015</v>
      </c>
    </row>
    <row r="40" spans="1:9" ht="15.75" x14ac:dyDescent="0.25">
      <c r="A40" s="319" t="s">
        <v>48</v>
      </c>
      <c r="B40" s="319"/>
      <c r="C40" s="319"/>
      <c r="D40" s="319"/>
      <c r="E40" s="126"/>
      <c r="F40" s="126"/>
      <c r="G40" s="126"/>
      <c r="H40" s="126"/>
      <c r="I40" s="48"/>
    </row>
    <row r="41" spans="1:9" s="132" customFormat="1" ht="47.25" x14ac:dyDescent="0.25">
      <c r="A41" s="133">
        <v>36</v>
      </c>
      <c r="B41" s="134" t="s">
        <v>63</v>
      </c>
      <c r="C41" s="57">
        <v>1.64</v>
      </c>
      <c r="D41" s="57">
        <v>0</v>
      </c>
      <c r="E41" s="20">
        <v>301.54000000000002</v>
      </c>
      <c r="F41" s="136">
        <f t="shared" si="0"/>
        <v>0.49199999999999994</v>
      </c>
      <c r="G41" s="136">
        <f t="shared" si="1"/>
        <v>15.077000000000002</v>
      </c>
      <c r="H41" s="136">
        <f t="shared" si="4"/>
        <v>15.077000000000002</v>
      </c>
      <c r="I41" s="20">
        <f t="shared" si="2"/>
        <v>15.077000000000002</v>
      </c>
    </row>
    <row r="42" spans="1:9" ht="47.25" x14ac:dyDescent="0.25">
      <c r="A42" s="124">
        <v>37</v>
      </c>
      <c r="B42" s="125" t="s">
        <v>155</v>
      </c>
      <c r="C42" s="47">
        <v>0.22</v>
      </c>
      <c r="D42" s="48">
        <v>0</v>
      </c>
      <c r="E42" s="48">
        <v>7.94</v>
      </c>
      <c r="F42" s="126">
        <f t="shared" si="0"/>
        <v>6.6000000000000003E-2</v>
      </c>
      <c r="G42" s="126">
        <f t="shared" si="1"/>
        <v>0.39700000000000002</v>
      </c>
      <c r="H42" s="126">
        <f t="shared" si="4"/>
        <v>0.39700000000000002</v>
      </c>
      <c r="I42" s="48">
        <f t="shared" si="2"/>
        <v>0.39700000000000002</v>
      </c>
    </row>
    <row r="43" spans="1:9" s="132" customFormat="1" ht="47.25" x14ac:dyDescent="0.25">
      <c r="A43" s="133">
        <v>38</v>
      </c>
      <c r="B43" s="134" t="s">
        <v>156</v>
      </c>
      <c r="C43" s="57">
        <v>0.33</v>
      </c>
      <c r="D43" s="20">
        <v>0</v>
      </c>
      <c r="E43" s="20">
        <v>61.95</v>
      </c>
      <c r="F43" s="136">
        <f t="shared" si="0"/>
        <v>9.9000000000000005E-2</v>
      </c>
      <c r="G43" s="136">
        <f t="shared" si="1"/>
        <v>3.0975000000000001</v>
      </c>
      <c r="H43" s="136">
        <f t="shared" si="4"/>
        <v>3.0975000000000001</v>
      </c>
      <c r="I43" s="20">
        <f t="shared" si="2"/>
        <v>3.0975000000000001</v>
      </c>
    </row>
    <row r="44" spans="1:9" ht="31.5" x14ac:dyDescent="0.25">
      <c r="A44" s="124">
        <v>39</v>
      </c>
      <c r="B44" s="125" t="s">
        <v>22</v>
      </c>
      <c r="C44" s="47">
        <v>53.79</v>
      </c>
      <c r="D44" s="48">
        <v>0</v>
      </c>
      <c r="E44" s="48">
        <v>14750.78</v>
      </c>
      <c r="F44" s="126">
        <f t="shared" si="0"/>
        <v>16.137</v>
      </c>
      <c r="G44" s="126">
        <f t="shared" si="1"/>
        <v>737.5390000000001</v>
      </c>
      <c r="H44" s="126">
        <f t="shared" si="4"/>
        <v>737.5390000000001</v>
      </c>
      <c r="I44" s="48">
        <f t="shared" si="2"/>
        <v>737.5390000000001</v>
      </c>
    </row>
    <row r="45" spans="1:9" s="132" customFormat="1" ht="47.25" x14ac:dyDescent="0.25">
      <c r="A45" s="133">
        <v>40</v>
      </c>
      <c r="B45" s="134" t="s">
        <v>153</v>
      </c>
      <c r="C45" s="57">
        <v>25.9</v>
      </c>
      <c r="D45" s="20">
        <v>0</v>
      </c>
      <c r="E45" s="20">
        <v>359.59</v>
      </c>
      <c r="F45" s="136">
        <f t="shared" si="0"/>
        <v>7.77</v>
      </c>
      <c r="G45" s="136">
        <f t="shared" si="1"/>
        <v>17.979499999999998</v>
      </c>
      <c r="H45" s="136">
        <f t="shared" si="4"/>
        <v>17.979499999999998</v>
      </c>
      <c r="I45" s="20">
        <f t="shared" si="2"/>
        <v>17.979499999999998</v>
      </c>
    </row>
    <row r="46" spans="1:9" s="8" customFormat="1" ht="15.75" x14ac:dyDescent="0.25">
      <c r="A46" s="311" t="s">
        <v>94</v>
      </c>
      <c r="B46" s="311"/>
      <c r="C46" s="123">
        <f t="shared" ref="C46:D46" si="6">SUM(C41:C45)</f>
        <v>81.88</v>
      </c>
      <c r="D46" s="123">
        <f t="shared" si="6"/>
        <v>0</v>
      </c>
      <c r="E46" s="127">
        <f>SUM(E41:E45)</f>
        <v>15481.800000000001</v>
      </c>
      <c r="F46" s="127"/>
      <c r="G46" s="127"/>
      <c r="H46" s="127">
        <f>SUM(H41:H45)</f>
        <v>774.09000000000015</v>
      </c>
      <c r="I46" s="128">
        <f>H46-D46</f>
        <v>774.09000000000015</v>
      </c>
    </row>
    <row r="47" spans="1:9" s="132" customFormat="1" ht="15.75" x14ac:dyDescent="0.25">
      <c r="A47" s="320" t="s">
        <v>51</v>
      </c>
      <c r="B47" s="320"/>
      <c r="C47" s="320"/>
      <c r="D47" s="320"/>
      <c r="E47" s="136"/>
      <c r="F47" s="136"/>
      <c r="G47" s="136"/>
      <c r="H47" s="136"/>
      <c r="I47" s="20"/>
    </row>
    <row r="48" spans="1:9" ht="47.25" x14ac:dyDescent="0.25">
      <c r="A48" s="124">
        <v>41</v>
      </c>
      <c r="B48" s="125" t="s">
        <v>157</v>
      </c>
      <c r="C48" s="47">
        <v>48.19</v>
      </c>
      <c r="D48" s="48">
        <v>15.6</v>
      </c>
      <c r="E48" s="48">
        <v>1390.87</v>
      </c>
      <c r="F48" s="126">
        <f t="shared" si="0"/>
        <v>14.456999999999999</v>
      </c>
      <c r="G48" s="126">
        <f t="shared" si="1"/>
        <v>69.543499999999995</v>
      </c>
      <c r="H48" s="126">
        <f>G48</f>
        <v>69.543499999999995</v>
      </c>
      <c r="I48" s="48">
        <f>H48-D48</f>
        <v>53.943499999999993</v>
      </c>
    </row>
    <row r="49" spans="1:9" s="132" customFormat="1" ht="31.5" x14ac:dyDescent="0.25">
      <c r="A49" s="133">
        <v>42</v>
      </c>
      <c r="B49" s="134" t="s">
        <v>55</v>
      </c>
      <c r="C49" s="57">
        <v>39.270000000000003</v>
      </c>
      <c r="D49" s="20">
        <v>3.1</v>
      </c>
      <c r="E49" s="20">
        <v>250.4</v>
      </c>
      <c r="F49" s="136">
        <f t="shared" si="0"/>
        <v>11.781000000000001</v>
      </c>
      <c r="G49" s="136">
        <f t="shared" si="1"/>
        <v>12.520000000000001</v>
      </c>
      <c r="H49" s="136">
        <f t="shared" si="4"/>
        <v>12.520000000000001</v>
      </c>
      <c r="I49" s="20">
        <f t="shared" si="2"/>
        <v>9.4200000000000017</v>
      </c>
    </row>
    <row r="50" spans="1:9" ht="31.5" x14ac:dyDescent="0.25">
      <c r="A50" s="124">
        <v>43</v>
      </c>
      <c r="B50" s="125" t="s">
        <v>56</v>
      </c>
      <c r="C50" s="47">
        <v>29.53</v>
      </c>
      <c r="D50" s="48">
        <v>0</v>
      </c>
      <c r="E50" s="48">
        <v>460.61</v>
      </c>
      <c r="F50" s="126">
        <f t="shared" si="0"/>
        <v>8.859</v>
      </c>
      <c r="G50" s="126">
        <f t="shared" si="1"/>
        <v>23.030500000000004</v>
      </c>
      <c r="H50" s="126">
        <f t="shared" si="4"/>
        <v>23.030500000000004</v>
      </c>
      <c r="I50" s="48">
        <f t="shared" si="2"/>
        <v>23.030500000000004</v>
      </c>
    </row>
    <row r="51" spans="1:9" s="132" customFormat="1" ht="31.5" x14ac:dyDescent="0.25">
      <c r="A51" s="133">
        <v>44</v>
      </c>
      <c r="B51" s="134" t="s">
        <v>25</v>
      </c>
      <c r="C51" s="57">
        <v>73.819999999999993</v>
      </c>
      <c r="D51" s="20">
        <v>0</v>
      </c>
      <c r="E51" s="20">
        <v>2124.13</v>
      </c>
      <c r="F51" s="136">
        <f t="shared" si="0"/>
        <v>22.145999999999997</v>
      </c>
      <c r="G51" s="136">
        <f t="shared" si="1"/>
        <v>106.20650000000001</v>
      </c>
      <c r="H51" s="136">
        <f t="shared" si="4"/>
        <v>106.20650000000001</v>
      </c>
      <c r="I51" s="20">
        <f t="shared" si="2"/>
        <v>106.20650000000001</v>
      </c>
    </row>
    <row r="52" spans="1:9" ht="31.5" x14ac:dyDescent="0.25">
      <c r="A52" s="124">
        <v>45</v>
      </c>
      <c r="B52" s="125" t="s">
        <v>54</v>
      </c>
      <c r="C52" s="47">
        <v>0.44</v>
      </c>
      <c r="D52" s="48">
        <v>0</v>
      </c>
      <c r="E52" s="48">
        <v>920.7</v>
      </c>
      <c r="F52" s="126">
        <f t="shared" si="0"/>
        <v>0.13200000000000001</v>
      </c>
      <c r="G52" s="126">
        <f t="shared" si="1"/>
        <v>46.035000000000004</v>
      </c>
      <c r="H52" s="126">
        <f t="shared" si="4"/>
        <v>46.035000000000004</v>
      </c>
      <c r="I52" s="48">
        <f t="shared" si="2"/>
        <v>46.035000000000004</v>
      </c>
    </row>
    <row r="53" spans="1:9" s="132" customFormat="1" ht="31.5" x14ac:dyDescent="0.25">
      <c r="A53" s="133">
        <v>46</v>
      </c>
      <c r="B53" s="134" t="s">
        <v>27</v>
      </c>
      <c r="C53" s="57">
        <v>55.08</v>
      </c>
      <c r="D53" s="20">
        <v>9.8000000000000007</v>
      </c>
      <c r="E53" s="20">
        <v>723.4</v>
      </c>
      <c r="F53" s="136">
        <f t="shared" si="0"/>
        <v>16.523999999999997</v>
      </c>
      <c r="G53" s="136">
        <f t="shared" si="1"/>
        <v>36.17</v>
      </c>
      <c r="H53" s="136">
        <f>G53</f>
        <v>36.17</v>
      </c>
      <c r="I53" s="20">
        <f>H53-D53</f>
        <v>26.37</v>
      </c>
    </row>
    <row r="54" spans="1:9" ht="31.5" x14ac:dyDescent="0.25">
      <c r="A54" s="124">
        <v>47</v>
      </c>
      <c r="B54" s="125" t="s">
        <v>53</v>
      </c>
      <c r="C54" s="47">
        <v>-30.82</v>
      </c>
      <c r="D54" s="48">
        <v>0</v>
      </c>
      <c r="E54" s="48">
        <v>276.77</v>
      </c>
      <c r="F54" s="126">
        <f>C54*0.3</f>
        <v>-9.2460000000000004</v>
      </c>
      <c r="G54" s="126">
        <f>E54*0.05</f>
        <v>13.8385</v>
      </c>
      <c r="H54" s="126">
        <f>G54</f>
        <v>13.8385</v>
      </c>
      <c r="I54" s="48">
        <f t="shared" si="2"/>
        <v>13.8385</v>
      </c>
    </row>
    <row r="55" spans="1:9" s="139" customFormat="1" ht="12" customHeight="1" x14ac:dyDescent="0.25">
      <c r="A55" s="318" t="s">
        <v>18</v>
      </c>
      <c r="B55" s="318"/>
      <c r="C55" s="131">
        <f t="shared" ref="C55:D55" si="7">SUM(C48:C54)</f>
        <v>215.51</v>
      </c>
      <c r="D55" s="131">
        <f t="shared" si="7"/>
        <v>28.5</v>
      </c>
      <c r="E55" s="137">
        <f>SUM(E48:E54)</f>
        <v>6146.8799999999992</v>
      </c>
      <c r="F55" s="137"/>
      <c r="G55" s="137"/>
      <c r="H55" s="137">
        <f>SUM(H48:H54)</f>
        <v>307.34400000000005</v>
      </c>
      <c r="I55" s="138">
        <f>SUM(I48:I54)</f>
        <v>278.84399999999999</v>
      </c>
    </row>
    <row r="56" spans="1:9" s="8" customFormat="1" ht="15.75" x14ac:dyDescent="0.25">
      <c r="A56" s="311" t="s">
        <v>72</v>
      </c>
      <c r="B56" s="311"/>
      <c r="C56" s="123">
        <f>C20+C39+C46+C55</f>
        <v>12056.609999999999</v>
      </c>
      <c r="D56" s="123">
        <f>D20+D39+D46+D55</f>
        <v>4457.46</v>
      </c>
      <c r="E56" s="123">
        <f>E20+E39+E46+E55</f>
        <v>104467.73</v>
      </c>
      <c r="F56" s="127"/>
      <c r="G56" s="127"/>
      <c r="H56" s="127">
        <f>H55+H46+H39+H20</f>
        <v>6311.4475000000002</v>
      </c>
      <c r="I56" s="128">
        <f>H56-D56</f>
        <v>1853.9875000000002</v>
      </c>
    </row>
    <row r="57" spans="1:9" ht="15.75" customHeight="1" x14ac:dyDescent="0.25">
      <c r="A57" s="312" t="s">
        <v>198</v>
      </c>
      <c r="B57" s="312"/>
      <c r="C57" s="312"/>
      <c r="D57" s="312"/>
      <c r="E57" s="312"/>
      <c r="F57" s="312"/>
      <c r="G57" s="312"/>
      <c r="H57" s="312"/>
      <c r="I57" s="312"/>
    </row>
    <row r="58" spans="1:9" ht="15.75" customHeight="1" x14ac:dyDescent="0.25">
      <c r="A58" s="313" t="s">
        <v>201</v>
      </c>
      <c r="B58" s="313"/>
      <c r="C58" s="313"/>
      <c r="D58" s="313"/>
      <c r="E58" s="313"/>
      <c r="F58" s="313"/>
      <c r="G58" s="313"/>
      <c r="H58" s="313"/>
      <c r="I58" s="313"/>
    </row>
    <row r="59" spans="1:9" ht="15.75" customHeight="1" x14ac:dyDescent="0.25">
      <c r="A59" s="313" t="s">
        <v>186</v>
      </c>
      <c r="B59" s="313"/>
      <c r="C59" s="313"/>
      <c r="D59" s="313"/>
      <c r="E59" s="313"/>
      <c r="F59" s="313"/>
      <c r="G59" s="313"/>
      <c r="H59" s="313"/>
      <c r="I59" s="313"/>
    </row>
  </sheetData>
  <mergeCells count="14">
    <mergeCell ref="A1:I1"/>
    <mergeCell ref="A2:I2"/>
    <mergeCell ref="A4:D4"/>
    <mergeCell ref="A20:B20"/>
    <mergeCell ref="A55:B55"/>
    <mergeCell ref="A56:B56"/>
    <mergeCell ref="A57:I57"/>
    <mergeCell ref="A58:I58"/>
    <mergeCell ref="A59:I59"/>
    <mergeCell ref="C17:I17"/>
    <mergeCell ref="A39:B39"/>
    <mergeCell ref="A40:D40"/>
    <mergeCell ref="A46:B46"/>
    <mergeCell ref="A47:D47"/>
  </mergeCells>
  <pageMargins left="0.7" right="0.7" top="0.75" bottom="0.75" header="0.3" footer="0.3"/>
  <pageSetup paperSize="9" scale="84" orientation="portrait" r:id="rId1"/>
  <headerFooter>
    <oddHeader xml:space="preserve">&amp;R&amp;"Times New Roman,Bold Italic"Annexure </oddHeader>
    <oddFooter xml:space="preserve">&amp;L&amp;"Times New Roman,Bold Italic"Report No.  of 2024&amp;R&amp;"Times New Roman,Bold Italic"Page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Annexure 2</vt:lpstr>
      <vt:lpstr>Annexure 3</vt:lpstr>
      <vt:lpstr>Annexure 4</vt:lpstr>
      <vt:lpstr>Annexure  5</vt:lpstr>
      <vt:lpstr>Annexure -6</vt:lpstr>
      <vt:lpstr>Annexure-7</vt:lpstr>
      <vt:lpstr>Annexure_8</vt:lpstr>
      <vt:lpstr>'Annexure  5'!Print_Area</vt:lpstr>
      <vt:lpstr>'Annexure 3'!Print_Area</vt:lpstr>
      <vt:lpstr>'Annexure 4'!Print_Area</vt:lpstr>
      <vt:lpstr>'Annexure -6'!Print_Area</vt:lpstr>
      <vt:lpstr>'Annexure-7'!Print_Area</vt:lpstr>
      <vt:lpstr>'Annexure  5'!Print_Titles</vt:lpstr>
      <vt:lpstr>'Annexure 2'!Print_Titles</vt:lpstr>
      <vt:lpstr>'Annexure 3'!Print_Titles</vt:lpstr>
      <vt:lpstr>'Annexure 4'!Print_Titles</vt:lpstr>
      <vt:lpstr>'Annexure -6'!Print_Titles</vt:lpstr>
      <vt:lpstr>Annexure_8!Print_Titles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Chauhan</dc:creator>
  <cp:lastModifiedBy>Dell</cp:lastModifiedBy>
  <cp:lastPrinted>2024-10-16T05:31:07Z</cp:lastPrinted>
  <dcterms:created xsi:type="dcterms:W3CDTF">2015-06-05T18:17:20Z</dcterms:created>
  <dcterms:modified xsi:type="dcterms:W3CDTF">2024-10-28T05:03:52Z</dcterms:modified>
</cp:coreProperties>
</file>